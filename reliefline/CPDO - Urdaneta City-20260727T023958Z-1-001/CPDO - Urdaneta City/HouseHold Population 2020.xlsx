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 " sheetId="1" r:id="rId5"/>
    <sheet state="visible" name="Household" sheetId="2" r:id="rId6"/>
  </sheets>
  <definedNames/>
  <calcPr/>
</workbook>
</file>

<file path=xl/sharedStrings.xml><?xml version="1.0" encoding="utf-8"?>
<sst xmlns="http://schemas.openxmlformats.org/spreadsheetml/2006/main" count="77" uniqueCount="42">
  <si>
    <t>URDANETA CITY</t>
  </si>
  <si>
    <t>URDANETA CITY POPULATION</t>
  </si>
  <si>
    <t>HOUSEHOLD POPULATION</t>
  </si>
  <si>
    <t>BARANGAY</t>
  </si>
  <si>
    <t>Anonas</t>
  </si>
  <si>
    <t>Bactad East</t>
  </si>
  <si>
    <t>Bayaoas</t>
  </si>
  <si>
    <t>Bolaoen</t>
  </si>
  <si>
    <t>Cabaruan</t>
  </si>
  <si>
    <t>Cabuloan</t>
  </si>
  <si>
    <t>Camanang</t>
  </si>
  <si>
    <t>Camantiles</t>
  </si>
  <si>
    <t>Casantaan</t>
  </si>
  <si>
    <t>Catablan</t>
  </si>
  <si>
    <t>Cayambanan</t>
  </si>
  <si>
    <t>Consolacion</t>
  </si>
  <si>
    <t>Dilan-Paurido</t>
  </si>
  <si>
    <t>Labit Proper</t>
  </si>
  <si>
    <t>Labit West</t>
  </si>
  <si>
    <t>Mabanogbog</t>
  </si>
  <si>
    <t>Macalong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</si>
  <si>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</si>
  <si>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</si>
  <si>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</si>
  <si>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</si>
  <si>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</si>
  <si>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</si>
  <si>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</si>
  <si>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</si>
  <si>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Poblacion</t>
  </si>
  <si>
    <t>P.T. Orata</t>
  </si>
  <si>
    <t>San Jose</t>
  </si>
  <si>
    <t>San Vicente</t>
  </si>
  <si>
    <t>Sta. Lucia</t>
  </si>
  <si>
    <t>Sto. Domingo</t>
  </si>
  <si>
    <t>Sugcong</t>
  </si>
  <si>
    <t>Tipuso</t>
  </si>
  <si>
    <t>Tiposu</t>
  </si>
  <si>
    <t>Tulong</t>
  </si>
  <si>
    <t>TOTAL</t>
  </si>
  <si>
    <t>(Based on PSA 2020 CPH; Growth Rate = 1.78%)</t>
  </si>
  <si>
    <t>(2015-2020 Population Growth Rate = 1.78%)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</si>
</sst>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/>
    <font>
      <sz val="10.0"/>
      <color rgb="FFFF0000"/>
      <name val="Times New Roman"/>
    </font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37" xfId="0" applyAlignment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4" numFmtId="37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shrinkToFit="0" vertical="bottom" wrapText="0"/>
    </xf>
    <xf borderId="5" fillId="0" fontId="4" numFmtId="37" xfId="0" applyAlignment="1" applyBorder="1" applyFont="1" applyNumberFormat="1">
      <alignment horizontal="center" shrinkToFit="0" vertical="center" wrapText="0"/>
    </xf>
    <xf borderId="6" fillId="0" fontId="4" numFmtId="0" xfId="0" applyAlignment="1" applyBorder="1" applyFont="1">
      <alignment shrinkToFit="0" vertical="bottom" wrapText="0"/>
    </xf>
    <xf borderId="7" fillId="0" fontId="4" numFmtId="37" xfId="0" applyAlignment="1" applyBorder="1" applyFont="1" applyNumberFormat="1">
      <alignment horizontal="center" shrinkToFit="0" vertical="center" wrapText="0"/>
    </xf>
    <xf borderId="0" fillId="0" fontId="3" numFmtId="37" xfId="0" applyAlignment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2" xfId="0" applyAlignment="1" applyFont="1" applyNumberFormat="1">
      <alignment horizontal="center" shrinkToFit="0" vertical="bottom" wrapText="1"/>
    </xf>
    <xf borderId="8" fillId="0" fontId="3" numFmtId="0" xfId="0" applyAlignment="1" applyBorder="1" applyFont="1">
      <alignment shrinkToFit="0" vertical="bottom" wrapText="0"/>
    </xf>
    <xf borderId="8" fillId="0" fontId="4" numFmtId="37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shrinkToFit="0" vertical="bottom" wrapText="0"/>
    </xf>
    <xf borderId="10" fillId="0" fontId="4" numFmtId="37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right" shrinkToFit="0" vertical="bottom" wrapText="0"/>
    </xf>
    <xf borderId="11" fillId="0" fontId="4" numFmtId="37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left" shrinkToFit="0" vertical="bottom" wrapText="0"/>
    </xf>
    <xf borderId="13" fillId="0" fontId="3" numFmtId="37" xfId="0" applyAlignment="1" applyBorder="1" applyFont="1" applyNumberFormat="1">
      <alignment horizontal="center" shrinkToFit="0" vertical="center" wrapText="0"/>
    </xf>
    <xf borderId="14" fillId="0" fontId="3" numFmtId="0" xfId="0" applyAlignment="1" applyBorder="1" applyFont="1">
      <alignment horizontal="left" shrinkToFit="0" vertical="bottom" wrapText="0"/>
    </xf>
    <xf borderId="15" fillId="0" fontId="3" numFmtId="37" xfId="0" applyAlignment="1" applyBorder="1" applyFont="1" applyNumberFormat="1">
      <alignment horizontal="center" shrinkToFit="0" vertical="center" wrapText="0"/>
    </xf>
    <xf borderId="16" fillId="0" fontId="3" numFmtId="37" xfId="0" applyAlignment="1" applyBorder="1" applyFont="1" applyNumberFormat="1">
      <alignment horizontal="center" shrinkToFit="0" vertical="center" wrapText="0"/>
    </xf>
    <xf borderId="17" fillId="0" fontId="3" numFmtId="0" xfId="0" applyAlignment="1" applyBorder="1" applyFont="1">
      <alignment horizontal="right" shrinkToFit="0" vertical="bottom" wrapText="0"/>
    </xf>
    <xf borderId="17" fillId="0" fontId="6" numFmtId="0" xfId="0" applyBorder="1" applyFont="1"/>
    <xf borderId="0" fillId="0" fontId="7" numFmtId="0" xfId="0" applyAlignment="1" applyFont="1">
      <alignment shrinkToFit="0" vertical="bottom" wrapText="0"/>
    </xf>
    <xf borderId="18" fillId="0" fontId="3" numFmtId="37" xfId="0" applyAlignment="1" applyBorder="1" applyFont="1" applyNumberFormat="1">
      <alignment horizontal="center" shrinkToFit="0" vertical="center" wrapText="0"/>
    </xf>
    <xf borderId="0" fillId="0" fontId="4" numFmtId="39" xfId="0" applyAlignment="1" applyFont="1" applyNumberFormat="1">
      <alignment horizontal="center" shrinkToFit="0" vertical="center" wrapText="0"/>
    </xf>
    <xf borderId="0" fillId="0" fontId="8" numFmtId="0" xfId="0" applyAlignment="1" applyFont="1">
      <alignment horizontal="right" shrinkToFit="0" vertical="bottom" wrapText="0"/>
    </xf>
    <xf borderId="0" fillId="0" fontId="4" numFmtId="3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12" width="11.29"/>
    <col customWidth="1" min="13" max="13" width="9.14"/>
    <col customWidth="1" min="14" max="26" width="8.0"/>
  </cols>
  <sheetData>
    <row r="1" ht="17.25" customHeight="1">
      <c r="A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5"/>
      <c r="B2" s="5"/>
      <c r="C2" s="5"/>
      <c r="D2" s="5"/>
      <c r="E2" s="5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6" t="s">
        <v>3</v>
      </c>
      <c r="B3" s="8">
        <v>2020.0</v>
      </c>
      <c r="C3" s="8">
        <v>2021.0</v>
      </c>
      <c r="D3" s="9">
        <v>2022.0</v>
      </c>
      <c r="E3" s="8">
        <v>2023.0</v>
      </c>
      <c r="F3" s="9">
        <v>2024.0</v>
      </c>
      <c r="G3" s="8">
        <v>2025.0</v>
      </c>
      <c r="H3" s="8">
        <v>2026.0</v>
      </c>
      <c r="I3" s="8">
        <v>2027.0</v>
      </c>
      <c r="J3" s="8">
        <v>2028.0</v>
      </c>
      <c r="K3" s="8">
        <v>2029.0</v>
      </c>
      <c r="L3" s="8">
        <v>2030.0</v>
      </c>
      <c r="M3" s="8">
        <v>2031.0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2" t="s">
        <v>4</v>
      </c>
      <c r="B4" s="13">
        <v>6221.0</v>
      </c>
      <c r="C4" s="13">
        <f t="shared" ref="C4:M4" si="1">(B4*1.78%)+B4</f>
        <v>6331.7338</v>
      </c>
      <c r="D4" s="13">
        <f t="shared" si="1"/>
        <v>6444.438662</v>
      </c>
      <c r="E4" s="13">
        <f t="shared" si="1"/>
        <v>6559.14967</v>
      </c>
      <c r="F4" s="13">
        <f t="shared" si="1"/>
        <v>6675.902534</v>
      </c>
      <c r="G4" s="13">
        <f t="shared" si="1"/>
        <v>6794.733599</v>
      </c>
      <c r="H4" s="13">
        <f t="shared" si="1"/>
        <v>6915.679857</v>
      </c>
      <c r="I4" s="13">
        <f t="shared" si="1"/>
        <v>7038.778959</v>
      </c>
      <c r="J4" s="13">
        <f t="shared" si="1"/>
        <v>7164.069224</v>
      </c>
      <c r="K4" s="13">
        <f t="shared" si="1"/>
        <v>7291.589656</v>
      </c>
      <c r="L4" s="13">
        <f t="shared" si="1"/>
        <v>7421.379952</v>
      </c>
      <c r="M4" s="13">
        <f t="shared" si="1"/>
        <v>7553.480515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4" t="s">
        <v>5</v>
      </c>
      <c r="B5" s="15">
        <v>2175.0</v>
      </c>
      <c r="C5" s="13">
        <f t="shared" ref="C5:M5" si="2">(B5*1.78%)+B5</f>
        <v>2213.715</v>
      </c>
      <c r="D5" s="13">
        <f t="shared" si="2"/>
        <v>2253.119127</v>
      </c>
      <c r="E5" s="13">
        <f t="shared" si="2"/>
        <v>2293.224647</v>
      </c>
      <c r="F5" s="13">
        <f t="shared" si="2"/>
        <v>2334.044046</v>
      </c>
      <c r="G5" s="13">
        <f t="shared" si="2"/>
        <v>2375.59003</v>
      </c>
      <c r="H5" s="13">
        <f t="shared" si="2"/>
        <v>2417.875533</v>
      </c>
      <c r="I5" s="13">
        <f t="shared" si="2"/>
        <v>2460.913717</v>
      </c>
      <c r="J5" s="13">
        <f t="shared" si="2"/>
        <v>2504.717981</v>
      </c>
      <c r="K5" s="13">
        <f t="shared" si="2"/>
        <v>2549.301961</v>
      </c>
      <c r="L5" s="13">
        <f t="shared" si="2"/>
        <v>2594.679536</v>
      </c>
      <c r="M5" s="13">
        <f t="shared" si="2"/>
        <v>2640.864832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4" t="s">
        <v>6</v>
      </c>
      <c r="B6" s="15">
        <v>5789.0</v>
      </c>
      <c r="C6" s="13">
        <f t="shared" ref="C6:M6" si="3">(B6*1.78%)+B6</f>
        <v>5892.0442</v>
      </c>
      <c r="D6" s="13">
        <f t="shared" si="3"/>
        <v>5996.922587</v>
      </c>
      <c r="E6" s="13">
        <f t="shared" si="3"/>
        <v>6103.667809</v>
      </c>
      <c r="F6" s="13">
        <f t="shared" si="3"/>
        <v>6212.313096</v>
      </c>
      <c r="G6" s="13">
        <f t="shared" si="3"/>
        <v>6322.892269</v>
      </c>
      <c r="H6" s="13">
        <f t="shared" si="3"/>
        <v>6435.439751</v>
      </c>
      <c r="I6" s="13">
        <f t="shared" si="3"/>
        <v>6549.990579</v>
      </c>
      <c r="J6" s="13">
        <f t="shared" si="3"/>
        <v>6666.580411</v>
      </c>
      <c r="K6" s="13">
        <f t="shared" si="3"/>
        <v>6785.245542</v>
      </c>
      <c r="L6" s="13">
        <f t="shared" si="3"/>
        <v>6906.022913</v>
      </c>
      <c r="M6" s="13">
        <f t="shared" si="3"/>
        <v>7028.950121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4" t="s">
        <v>7</v>
      </c>
      <c r="B7" s="15">
        <v>1506.0</v>
      </c>
      <c r="C7" s="13">
        <f t="shared" ref="C7:M7" si="4">(B7*1.78%)+B7</f>
        <v>1532.8068</v>
      </c>
      <c r="D7" s="13">
        <f t="shared" si="4"/>
        <v>1560.090761</v>
      </c>
      <c r="E7" s="13">
        <f t="shared" si="4"/>
        <v>1587.860377</v>
      </c>
      <c r="F7" s="13">
        <f t="shared" si="4"/>
        <v>1616.124291</v>
      </c>
      <c r="G7" s="13">
        <f t="shared" si="4"/>
        <v>1644.891304</v>
      </c>
      <c r="H7" s="13">
        <f t="shared" si="4"/>
        <v>1674.170369</v>
      </c>
      <c r="I7" s="13">
        <f t="shared" si="4"/>
        <v>1703.970601</v>
      </c>
      <c r="J7" s="13">
        <f t="shared" si="4"/>
        <v>1734.301278</v>
      </c>
      <c r="K7" s="13">
        <f t="shared" si="4"/>
        <v>1765.171841</v>
      </c>
      <c r="L7" s="13">
        <f t="shared" si="4"/>
        <v>1796.5919</v>
      </c>
      <c r="M7" s="13">
        <f t="shared" si="4"/>
        <v>1828.571235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4" t="s">
        <v>8</v>
      </c>
      <c r="B8" s="15">
        <v>2353.0</v>
      </c>
      <c r="C8" s="13">
        <f t="shared" ref="C8:M8" si="5">(B8*1.78%)+B8</f>
        <v>2394.8834</v>
      </c>
      <c r="D8" s="13">
        <f t="shared" si="5"/>
        <v>2437.512325</v>
      </c>
      <c r="E8" s="13">
        <f t="shared" si="5"/>
        <v>2480.900044</v>
      </c>
      <c r="F8" s="13">
        <f t="shared" si="5"/>
        <v>2525.060065</v>
      </c>
      <c r="G8" s="13">
        <f t="shared" si="5"/>
        <v>2570.006134</v>
      </c>
      <c r="H8" s="13">
        <f t="shared" si="5"/>
        <v>2615.752243</v>
      </c>
      <c r="I8" s="13">
        <f t="shared" si="5"/>
        <v>2662.312633</v>
      </c>
      <c r="J8" s="13">
        <f t="shared" si="5"/>
        <v>2709.701798</v>
      </c>
      <c r="K8" s="13">
        <f t="shared" si="5"/>
        <v>2757.93449</v>
      </c>
      <c r="L8" s="13">
        <f t="shared" si="5"/>
        <v>2807.025724</v>
      </c>
      <c r="M8" s="13">
        <f t="shared" si="5"/>
        <v>2856.990782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4" t="s">
        <v>9</v>
      </c>
      <c r="B9" s="15">
        <v>3506.0</v>
      </c>
      <c r="C9" s="13">
        <f t="shared" ref="C9:M9" si="6">(B9*1.78%)+B9</f>
        <v>3568.4068</v>
      </c>
      <c r="D9" s="13">
        <f t="shared" si="6"/>
        <v>3631.924441</v>
      </c>
      <c r="E9" s="13">
        <f t="shared" si="6"/>
        <v>3696.572696</v>
      </c>
      <c r="F9" s="13">
        <f t="shared" si="6"/>
        <v>3762.37169</v>
      </c>
      <c r="G9" s="13">
        <f t="shared" si="6"/>
        <v>3829.341906</v>
      </c>
      <c r="H9" s="13">
        <f t="shared" si="6"/>
        <v>3897.504192</v>
      </c>
      <c r="I9" s="13">
        <f t="shared" si="6"/>
        <v>3966.879767</v>
      </c>
      <c r="J9" s="13">
        <f t="shared" si="6"/>
        <v>4037.490227</v>
      </c>
      <c r="K9" s="13">
        <f t="shared" si="6"/>
        <v>4109.357553</v>
      </c>
      <c r="L9" s="13">
        <f t="shared" si="6"/>
        <v>4182.504117</v>
      </c>
      <c r="M9" s="13">
        <f t="shared" si="6"/>
        <v>4256.95269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4" t="s">
        <v>10</v>
      </c>
      <c r="B10" s="15">
        <v>5109.0</v>
      </c>
      <c r="C10" s="13">
        <f t="shared" ref="C10:M10" si="7">(B10*1.78%)+B10</f>
        <v>5199.9402</v>
      </c>
      <c r="D10" s="13">
        <f t="shared" si="7"/>
        <v>5292.499136</v>
      </c>
      <c r="E10" s="13">
        <f t="shared" si="7"/>
        <v>5386.70562</v>
      </c>
      <c r="F10" s="13">
        <f t="shared" si="7"/>
        <v>5482.58898</v>
      </c>
      <c r="G10" s="13">
        <f t="shared" si="7"/>
        <v>5580.179064</v>
      </c>
      <c r="H10" s="13">
        <f t="shared" si="7"/>
        <v>5679.506251</v>
      </c>
      <c r="I10" s="13">
        <f t="shared" si="7"/>
        <v>5780.601463</v>
      </c>
      <c r="J10" s="13">
        <f t="shared" si="7"/>
        <v>5883.496169</v>
      </c>
      <c r="K10" s="13">
        <f t="shared" si="7"/>
        <v>5988.222401</v>
      </c>
      <c r="L10" s="13">
        <f t="shared" si="7"/>
        <v>6094.812759</v>
      </c>
      <c r="M10" s="13">
        <f t="shared" si="7"/>
        <v>6203.300426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4" t="s">
        <v>11</v>
      </c>
      <c r="B11" s="15">
        <v>6605.0</v>
      </c>
      <c r="C11" s="13">
        <f t="shared" ref="C11:M11" si="8">(B11*1.78%)+B11</f>
        <v>6722.569</v>
      </c>
      <c r="D11" s="13">
        <f t="shared" si="8"/>
        <v>6842.230728</v>
      </c>
      <c r="E11" s="13">
        <f t="shared" si="8"/>
        <v>6964.022435</v>
      </c>
      <c r="F11" s="13">
        <f t="shared" si="8"/>
        <v>7087.982035</v>
      </c>
      <c r="G11" s="13">
        <f t="shared" si="8"/>
        <v>7214.148115</v>
      </c>
      <c r="H11" s="13">
        <f t="shared" si="8"/>
        <v>7342.559951</v>
      </c>
      <c r="I11" s="13">
        <f t="shared" si="8"/>
        <v>7473.257518</v>
      </c>
      <c r="J11" s="13">
        <f t="shared" si="8"/>
        <v>7606.281502</v>
      </c>
      <c r="K11" s="13">
        <f t="shared" si="8"/>
        <v>7741.673313</v>
      </c>
      <c r="L11" s="13">
        <f t="shared" si="8"/>
        <v>7879.475098</v>
      </c>
      <c r="M11" s="13">
        <f t="shared" si="8"/>
        <v>8019.729755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4" t="s">
        <v>12</v>
      </c>
      <c r="B12" s="15">
        <v>1549.0</v>
      </c>
      <c r="C12" s="13">
        <f t="shared" ref="C12:M12" si="9">(B12*1.78%)+B12</f>
        <v>1576.5722</v>
      </c>
      <c r="D12" s="13">
        <f t="shared" si="9"/>
        <v>1604.635185</v>
      </c>
      <c r="E12" s="13">
        <f t="shared" si="9"/>
        <v>1633.197691</v>
      </c>
      <c r="F12" s="13">
        <f t="shared" si="9"/>
        <v>1662.26861</v>
      </c>
      <c r="G12" s="13">
        <f t="shared" si="9"/>
        <v>1691.856992</v>
      </c>
      <c r="H12" s="13">
        <f t="shared" si="9"/>
        <v>1721.972046</v>
      </c>
      <c r="I12" s="13">
        <f t="shared" si="9"/>
        <v>1752.623148</v>
      </c>
      <c r="J12" s="13">
        <f t="shared" si="9"/>
        <v>1783.819841</v>
      </c>
      <c r="K12" s="13">
        <f t="shared" si="9"/>
        <v>1815.571834</v>
      </c>
      <c r="L12" s="13">
        <f t="shared" si="9"/>
        <v>1847.889012</v>
      </c>
      <c r="M12" s="13">
        <f t="shared" si="9"/>
        <v>1880.781437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4" t="s">
        <v>13</v>
      </c>
      <c r="B13" s="15">
        <v>6082.0</v>
      </c>
      <c r="C13" s="13">
        <f t="shared" ref="C13:M13" si="10">(B13*1.78%)+B13</f>
        <v>6190.2596</v>
      </c>
      <c r="D13" s="13">
        <f t="shared" si="10"/>
        <v>6300.446221</v>
      </c>
      <c r="E13" s="13">
        <f t="shared" si="10"/>
        <v>6412.594164</v>
      </c>
      <c r="F13" s="13">
        <f t="shared" si="10"/>
        <v>6526.73834</v>
      </c>
      <c r="G13" s="13">
        <f t="shared" si="10"/>
        <v>6642.914282</v>
      </c>
      <c r="H13" s="13">
        <f t="shared" si="10"/>
        <v>6761.158156</v>
      </c>
      <c r="I13" s="13">
        <f t="shared" si="10"/>
        <v>6881.506772</v>
      </c>
      <c r="J13" s="13">
        <f t="shared" si="10"/>
        <v>7003.997592</v>
      </c>
      <c r="K13" s="13">
        <f t="shared" si="10"/>
        <v>7128.668749</v>
      </c>
      <c r="L13" s="13">
        <f t="shared" si="10"/>
        <v>7255.559053</v>
      </c>
      <c r="M13" s="13">
        <f t="shared" si="10"/>
        <v>7384.708004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4" t="s">
        <v>14</v>
      </c>
      <c r="B14" s="15">
        <v>4440.0</v>
      </c>
      <c r="C14" s="13">
        <f t="shared" ref="C14:M14" si="11">(B14*1.78%)+B14</f>
        <v>4519.032</v>
      </c>
      <c r="D14" s="13">
        <f t="shared" si="11"/>
        <v>4599.47077</v>
      </c>
      <c r="E14" s="13">
        <f t="shared" si="11"/>
        <v>4681.341349</v>
      </c>
      <c r="F14" s="13">
        <f t="shared" si="11"/>
        <v>4764.669225</v>
      </c>
      <c r="G14" s="13">
        <f t="shared" si="11"/>
        <v>4849.480338</v>
      </c>
      <c r="H14" s="13">
        <f t="shared" si="11"/>
        <v>4935.801088</v>
      </c>
      <c r="I14" s="13">
        <f t="shared" si="11"/>
        <v>5023.658347</v>
      </c>
      <c r="J14" s="13">
        <f t="shared" si="11"/>
        <v>5113.079465</v>
      </c>
      <c r="K14" s="13">
        <f t="shared" si="11"/>
        <v>5204.09228</v>
      </c>
      <c r="L14" s="13">
        <f t="shared" si="11"/>
        <v>5296.725123</v>
      </c>
      <c r="M14" s="13">
        <f t="shared" si="11"/>
        <v>5391.00683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4" t="s">
        <v>15</v>
      </c>
      <c r="B15" s="15">
        <v>1750.0</v>
      </c>
      <c r="C15" s="13">
        <f t="shared" ref="C15:M15" si="12">(B15*1.78%)+B15</f>
        <v>1781.15</v>
      </c>
      <c r="D15" s="13">
        <f t="shared" si="12"/>
        <v>1812.85447</v>
      </c>
      <c r="E15" s="13">
        <f t="shared" si="12"/>
        <v>1845.12328</v>
      </c>
      <c r="F15" s="13">
        <f t="shared" si="12"/>
        <v>1877.966474</v>
      </c>
      <c r="G15" s="13">
        <f t="shared" si="12"/>
        <v>1911.394277</v>
      </c>
      <c r="H15" s="13">
        <f t="shared" si="12"/>
        <v>1945.417095</v>
      </c>
      <c r="I15" s="13">
        <f t="shared" si="12"/>
        <v>1980.04552</v>
      </c>
      <c r="J15" s="13">
        <f t="shared" si="12"/>
        <v>2015.29033</v>
      </c>
      <c r="K15" s="13">
        <f t="shared" si="12"/>
        <v>2051.162498</v>
      </c>
      <c r="L15" s="13">
        <f t="shared" si="12"/>
        <v>2087.67319</v>
      </c>
      <c r="M15" s="13">
        <f t="shared" si="12"/>
        <v>2124.833773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4" t="s">
        <v>16</v>
      </c>
      <c r="B16" s="15">
        <v>7391.0</v>
      </c>
      <c r="C16" s="13">
        <f t="shared" ref="C16:M16" si="13">(B16*1.78%)+B16</f>
        <v>7522.5598</v>
      </c>
      <c r="D16" s="13">
        <f t="shared" si="13"/>
        <v>7656.461364</v>
      </c>
      <c r="E16" s="13">
        <f t="shared" si="13"/>
        <v>7792.746377</v>
      </c>
      <c r="F16" s="13">
        <f t="shared" si="13"/>
        <v>7931.457262</v>
      </c>
      <c r="G16" s="13">
        <f t="shared" si="13"/>
        <v>8072.637202</v>
      </c>
      <c r="H16" s="13">
        <f t="shared" si="13"/>
        <v>8216.330144</v>
      </c>
      <c r="I16" s="13">
        <f t="shared" si="13"/>
        <v>8362.58082</v>
      </c>
      <c r="J16" s="13">
        <f t="shared" si="13"/>
        <v>8511.434759</v>
      </c>
      <c r="K16" s="13">
        <f t="shared" si="13"/>
        <v>8662.938298</v>
      </c>
      <c r="L16" s="13">
        <f t="shared" si="13"/>
        <v>8817.138599</v>
      </c>
      <c r="M16" s="13">
        <f t="shared" si="13"/>
        <v>8974.083666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4" t="s">
        <v>17</v>
      </c>
      <c r="B17" s="15">
        <v>3855.0</v>
      </c>
      <c r="C17" s="13">
        <f t="shared" ref="C17:M17" si="14">(B17*1.78%)+B17</f>
        <v>3923.619</v>
      </c>
      <c r="D17" s="13">
        <f t="shared" si="14"/>
        <v>3993.459418</v>
      </c>
      <c r="E17" s="13">
        <f t="shared" si="14"/>
        <v>4064.542996</v>
      </c>
      <c r="F17" s="13">
        <f t="shared" si="14"/>
        <v>4136.891861</v>
      </c>
      <c r="G17" s="13">
        <f t="shared" si="14"/>
        <v>4210.528536</v>
      </c>
      <c r="H17" s="13">
        <f t="shared" si="14"/>
        <v>4285.475944</v>
      </c>
      <c r="I17" s="13">
        <f t="shared" si="14"/>
        <v>4361.757416</v>
      </c>
      <c r="J17" s="13">
        <f t="shared" si="14"/>
        <v>4439.396698</v>
      </c>
      <c r="K17" s="13">
        <f t="shared" si="14"/>
        <v>4518.417959</v>
      </c>
      <c r="L17" s="13">
        <f t="shared" si="14"/>
        <v>4598.845799</v>
      </c>
      <c r="M17" s="13">
        <f t="shared" si="14"/>
        <v>4680.705254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4" t="s">
        <v>18</v>
      </c>
      <c r="B18" s="15">
        <v>2708.0</v>
      </c>
      <c r="C18" s="13">
        <f t="shared" ref="C18:M18" si="15">(B18*1.78%)+B18</f>
        <v>2756.2024</v>
      </c>
      <c r="D18" s="13">
        <f t="shared" si="15"/>
        <v>2805.262803</v>
      </c>
      <c r="E18" s="13">
        <f t="shared" si="15"/>
        <v>2855.196481</v>
      </c>
      <c r="F18" s="13">
        <f t="shared" si="15"/>
        <v>2906.018978</v>
      </c>
      <c r="G18" s="13">
        <f t="shared" si="15"/>
        <v>2957.746116</v>
      </c>
      <c r="H18" s="13">
        <f t="shared" si="15"/>
        <v>3010.393997</v>
      </c>
      <c r="I18" s="13">
        <f t="shared" si="15"/>
        <v>3063.97901</v>
      </c>
      <c r="J18" s="13">
        <f t="shared" si="15"/>
        <v>3118.517836</v>
      </c>
      <c r="K18" s="13">
        <f t="shared" si="15"/>
        <v>3174.027454</v>
      </c>
      <c r="L18" s="13">
        <f t="shared" si="15"/>
        <v>3230.525142</v>
      </c>
      <c r="M18" s="13">
        <f t="shared" si="15"/>
        <v>3288.02849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4" t="s">
        <v>19</v>
      </c>
      <c r="B19" s="15">
        <v>3470.0</v>
      </c>
      <c r="C19" s="13">
        <f t="shared" ref="C19:M19" si="16">(B19*1.78%)+B19</f>
        <v>3531.766</v>
      </c>
      <c r="D19" s="13">
        <f t="shared" si="16"/>
        <v>3594.631435</v>
      </c>
      <c r="E19" s="13">
        <f t="shared" si="16"/>
        <v>3658.615874</v>
      </c>
      <c r="F19" s="13">
        <f t="shared" si="16"/>
        <v>3723.739237</v>
      </c>
      <c r="G19" s="13">
        <f t="shared" si="16"/>
        <v>3790.021795</v>
      </c>
      <c r="H19" s="13">
        <f t="shared" si="16"/>
        <v>3857.484183</v>
      </c>
      <c r="I19" s="13">
        <f t="shared" si="16"/>
        <v>3926.147402</v>
      </c>
      <c r="J19" s="13">
        <f t="shared" si="16"/>
        <v>3996.032825</v>
      </c>
      <c r="K19" s="13">
        <f t="shared" si="16"/>
        <v>4067.16221</v>
      </c>
      <c r="L19" s="13">
        <f t="shared" si="16"/>
        <v>4139.557697</v>
      </c>
      <c r="M19" s="13">
        <f t="shared" si="16"/>
        <v>4213.241824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4" t="s">
        <v>20</v>
      </c>
      <c r="B20" s="15">
        <v>1553.0</v>
      </c>
      <c r="C20" s="13">
        <f t="shared" ref="C20:M20" si="17">(B20*1.78%)+B20</f>
        <v>1580.6434</v>
      </c>
      <c r="D20" s="13">
        <f t="shared" si="17"/>
        <v>1608.778853</v>
      </c>
      <c r="E20" s="13">
        <f t="shared" si="17"/>
        <v>1637.415116</v>
      </c>
      <c r="F20" s="13">
        <f t="shared" si="17"/>
        <v>1666.561105</v>
      </c>
      <c r="G20" s="13">
        <f t="shared" si="17"/>
        <v>1696.225893</v>
      </c>
      <c r="H20" s="13">
        <f t="shared" si="17"/>
        <v>1726.418714</v>
      </c>
      <c r="I20" s="13">
        <f t="shared" si="17"/>
        <v>1757.148967</v>
      </c>
      <c r="J20" s="13">
        <f t="shared" si="17"/>
        <v>1788.426218</v>
      </c>
      <c r="K20" s="13">
        <f t="shared" si="17"/>
        <v>1820.260205</v>
      </c>
      <c r="L20" s="13">
        <f t="shared" si="17"/>
        <v>1852.660837</v>
      </c>
      <c r="M20" s="13">
        <f t="shared" si="17"/>
        <v>1885.6382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4" t="s">
        <v>21</v>
      </c>
      <c r="B21" s="15">
        <v>3315.0</v>
      </c>
      <c r="C21" s="13">
        <f t="shared" ref="C21:M21" si="18">(B21*1.78%)+B21</f>
        <v>3374.007</v>
      </c>
      <c r="D21" s="13">
        <f t="shared" si="18"/>
        <v>3434.064325</v>
      </c>
      <c r="E21" s="13">
        <f t="shared" si="18"/>
        <v>3495.19067</v>
      </c>
      <c r="F21" s="13">
        <f t="shared" si="18"/>
        <v>3557.405063</v>
      </c>
      <c r="G21" s="13">
        <f t="shared" si="18"/>
        <v>3620.726874</v>
      </c>
      <c r="H21" s="13">
        <f t="shared" si="18"/>
        <v>3685.175812</v>
      </c>
      <c r="I21" s="13">
        <f t="shared" si="18"/>
        <v>3750.771941</v>
      </c>
      <c r="J21" s="13">
        <f t="shared" si="18"/>
        <v>3817.535682</v>
      </c>
      <c r="K21" s="13">
        <f t="shared" si="18"/>
        <v>3885.487817</v>
      </c>
      <c r="L21" s="13">
        <f t="shared" si="18"/>
        <v>3954.6495</v>
      </c>
      <c r="M21" s="13">
        <f t="shared" si="18"/>
        <v>4025.042261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4" t="s">
        <v>22</v>
      </c>
      <c r="B22" s="15">
        <v>5542.0</v>
      </c>
      <c r="C22" s="13">
        <f t="shared" ref="C22:M22" si="19">(B22*1.78%)+B22</f>
        <v>5640.6476</v>
      </c>
      <c r="D22" s="13">
        <f t="shared" si="19"/>
        <v>5741.051127</v>
      </c>
      <c r="E22" s="13">
        <f t="shared" si="19"/>
        <v>5843.241837</v>
      </c>
      <c r="F22" s="13">
        <f t="shared" si="19"/>
        <v>5947.251542</v>
      </c>
      <c r="G22" s="13">
        <f t="shared" si="19"/>
        <v>6053.112619</v>
      </c>
      <c r="H22" s="13">
        <f t="shared" si="19"/>
        <v>6160.858024</v>
      </c>
      <c r="I22" s="13">
        <f t="shared" si="19"/>
        <v>6270.521297</v>
      </c>
      <c r="J22" s="13">
        <f t="shared" si="19"/>
        <v>6382.136576</v>
      </c>
      <c r="K22" s="13">
        <f t="shared" si="19"/>
        <v>6495.738607</v>
      </c>
      <c r="L22" s="13">
        <f t="shared" si="19"/>
        <v>6611.362754</v>
      </c>
      <c r="M22" s="13">
        <f t="shared" si="19"/>
        <v>6729.045011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4" t="s">
        <v>23</v>
      </c>
      <c r="B23" s="15">
        <v>5748.0</v>
      </c>
      <c r="C23" s="13">
        <f t="shared" ref="C23:M23" si="20">(B23*1.78%)+B23</f>
        <v>5850.3144</v>
      </c>
      <c r="D23" s="13">
        <f t="shared" si="20"/>
        <v>5954.449996</v>
      </c>
      <c r="E23" s="13">
        <f t="shared" si="20"/>
        <v>6060.439206</v>
      </c>
      <c r="F23" s="13">
        <f t="shared" si="20"/>
        <v>6168.315024</v>
      </c>
      <c r="G23" s="13">
        <f t="shared" si="20"/>
        <v>6278.111032</v>
      </c>
      <c r="H23" s="13">
        <f t="shared" si="20"/>
        <v>6389.861408</v>
      </c>
      <c r="I23" s="13">
        <f t="shared" si="20"/>
        <v>6503.600941</v>
      </c>
      <c r="J23" s="13">
        <f t="shared" si="20"/>
        <v>6619.365038</v>
      </c>
      <c r="K23" s="13">
        <f t="shared" si="20"/>
        <v>6737.189735</v>
      </c>
      <c r="L23" s="13">
        <f t="shared" si="20"/>
        <v>6857.111713</v>
      </c>
      <c r="M23" s="13">
        <f t="shared" si="20"/>
        <v>6979.168301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4" t="s">
        <v>24</v>
      </c>
      <c r="B24" s="15">
        <v>8742.0</v>
      </c>
      <c r="C24" s="13">
        <f t="shared" ref="C24:M24" si="21">(B24*1.78%)+B24</f>
        <v>8897.6076</v>
      </c>
      <c r="D24" s="13">
        <f t="shared" si="21"/>
        <v>9055.985015</v>
      </c>
      <c r="E24" s="13">
        <f t="shared" si="21"/>
        <v>9217.181549</v>
      </c>
      <c r="F24" s="13">
        <f t="shared" si="21"/>
        <v>9381.24738</v>
      </c>
      <c r="G24" s="13">
        <f t="shared" si="21"/>
        <v>9548.233583</v>
      </c>
      <c r="H24" s="13">
        <f t="shared" si="21"/>
        <v>9718.192141</v>
      </c>
      <c r="I24" s="13">
        <f t="shared" si="21"/>
        <v>9891.175961</v>
      </c>
      <c r="J24" s="13">
        <f t="shared" si="21"/>
        <v>10067.23889</v>
      </c>
      <c r="K24" s="13">
        <f t="shared" si="21"/>
        <v>10246.43575</v>
      </c>
      <c r="L24" s="13">
        <f t="shared" si="21"/>
        <v>10428.8223</v>
      </c>
      <c r="M24" s="13">
        <f t="shared" si="21"/>
        <v>10614.45534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4" t="s">
        <v>25</v>
      </c>
      <c r="B25" s="15">
        <v>1487.0</v>
      </c>
      <c r="C25" s="13">
        <f t="shared" ref="C25:M25" si="22">(B25*1.78%)+B25</f>
        <v>1513.4686</v>
      </c>
      <c r="D25" s="13">
        <f t="shared" si="22"/>
        <v>1540.408341</v>
      </c>
      <c r="E25" s="13">
        <f t="shared" si="22"/>
        <v>1567.82761</v>
      </c>
      <c r="F25" s="13">
        <f t="shared" si="22"/>
        <v>1595.734941</v>
      </c>
      <c r="G25" s="13">
        <f t="shared" si="22"/>
        <v>1624.139023</v>
      </c>
      <c r="H25" s="13">
        <f t="shared" si="22"/>
        <v>1653.048698</v>
      </c>
      <c r="I25" s="13">
        <f t="shared" si="22"/>
        <v>1682.472964</v>
      </c>
      <c r="J25" s="13">
        <f t="shared" si="22"/>
        <v>1712.420983</v>
      </c>
      <c r="K25" s="13">
        <f t="shared" si="22"/>
        <v>1742.902077</v>
      </c>
      <c r="L25" s="13">
        <f t="shared" si="22"/>
        <v>1773.925734</v>
      </c>
      <c r="M25" s="13">
        <f t="shared" si="22"/>
        <v>1805.501612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4" t="s">
        <v>26</v>
      </c>
      <c r="B26" s="15">
        <v>5144.0</v>
      </c>
      <c r="C26" s="13">
        <f t="shared" ref="C26:M26" si="23">(B26*1.78%)+B26</f>
        <v>5235.5632</v>
      </c>
      <c r="D26" s="13">
        <f t="shared" si="23"/>
        <v>5328.756225</v>
      </c>
      <c r="E26" s="13">
        <f t="shared" si="23"/>
        <v>5423.608086</v>
      </c>
      <c r="F26" s="13">
        <f t="shared" si="23"/>
        <v>5520.14831</v>
      </c>
      <c r="G26" s="13">
        <f t="shared" si="23"/>
        <v>5618.40695</v>
      </c>
      <c r="H26" s="13">
        <f t="shared" si="23"/>
        <v>5718.414593</v>
      </c>
      <c r="I26" s="13">
        <f t="shared" si="23"/>
        <v>5820.202373</v>
      </c>
      <c r="J26" s="13">
        <f t="shared" si="23"/>
        <v>5923.801975</v>
      </c>
      <c r="K26" s="13">
        <f t="shared" si="23"/>
        <v>6029.24565</v>
      </c>
      <c r="L26" s="13">
        <f t="shared" si="23"/>
        <v>6136.566223</v>
      </c>
      <c r="M26" s="13">
        <f t="shared" si="23"/>
        <v>6245.797102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4" t="s">
        <v>27</v>
      </c>
      <c r="B27" s="15">
        <v>3386.0</v>
      </c>
      <c r="C27" s="13">
        <f t="shared" ref="C27:M27" si="24">(B27*1.78%)+B27</f>
        <v>3446.2708</v>
      </c>
      <c r="D27" s="13">
        <f t="shared" si="24"/>
        <v>3507.61442</v>
      </c>
      <c r="E27" s="13">
        <f t="shared" si="24"/>
        <v>3570.049957</v>
      </c>
      <c r="F27" s="13">
        <f t="shared" si="24"/>
        <v>3633.596846</v>
      </c>
      <c r="G27" s="13">
        <f t="shared" si="24"/>
        <v>3698.27487</v>
      </c>
      <c r="H27" s="13">
        <f t="shared" si="24"/>
        <v>3764.104163</v>
      </c>
      <c r="I27" s="13">
        <f t="shared" si="24"/>
        <v>3831.105217</v>
      </c>
      <c r="J27" s="13">
        <f t="shared" si="24"/>
        <v>3899.29889</v>
      </c>
      <c r="K27" s="13">
        <f t="shared" si="24"/>
        <v>3968.70641</v>
      </c>
      <c r="L27" s="13">
        <f t="shared" si="24"/>
        <v>4039.349384</v>
      </c>
      <c r="M27" s="13">
        <f t="shared" si="24"/>
        <v>4111.249803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4" t="s">
        <v>28</v>
      </c>
      <c r="B28" s="15">
        <v>8166.0</v>
      </c>
      <c r="C28" s="13">
        <f t="shared" ref="C28:M28" si="25">(B28*1.78%)+B28</f>
        <v>8311.3548</v>
      </c>
      <c r="D28" s="13">
        <f t="shared" si="25"/>
        <v>8459.296915</v>
      </c>
      <c r="E28" s="13">
        <f t="shared" si="25"/>
        <v>8609.872401</v>
      </c>
      <c r="F28" s="13">
        <f t="shared" si="25"/>
        <v>8763.128129</v>
      </c>
      <c r="G28" s="13">
        <f t="shared" si="25"/>
        <v>8919.11181</v>
      </c>
      <c r="H28" s="13">
        <f t="shared" si="25"/>
        <v>9077.872</v>
      </c>
      <c r="I28" s="13">
        <f t="shared" si="25"/>
        <v>9239.458122</v>
      </c>
      <c r="J28" s="13">
        <f t="shared" si="25"/>
        <v>9403.920476</v>
      </c>
      <c r="K28" s="13">
        <f t="shared" si="25"/>
        <v>9571.310261</v>
      </c>
      <c r="L28" s="13">
        <f t="shared" si="25"/>
        <v>9741.679583</v>
      </c>
      <c r="M28" s="13">
        <f t="shared" si="25"/>
        <v>9915.08148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4" t="s">
        <v>29</v>
      </c>
      <c r="B29" s="15">
        <v>7285.0</v>
      </c>
      <c r="C29" s="13">
        <f t="shared" ref="C29:M29" si="26">(B29*1.78%)+B29</f>
        <v>7414.673</v>
      </c>
      <c r="D29" s="13">
        <f t="shared" si="26"/>
        <v>7546.654179</v>
      </c>
      <c r="E29" s="13">
        <f t="shared" si="26"/>
        <v>7680.984624</v>
      </c>
      <c r="F29" s="13">
        <f t="shared" si="26"/>
        <v>7817.70615</v>
      </c>
      <c r="G29" s="13">
        <f t="shared" si="26"/>
        <v>7956.86132</v>
      </c>
      <c r="H29" s="13">
        <f t="shared" si="26"/>
        <v>8098.493451</v>
      </c>
      <c r="I29" s="13">
        <f t="shared" si="26"/>
        <v>8242.646634</v>
      </c>
      <c r="J29" s="13">
        <f t="shared" si="26"/>
        <v>8389.365745</v>
      </c>
      <c r="K29" s="13">
        <f t="shared" si="26"/>
        <v>8538.696455</v>
      </c>
      <c r="L29" s="13">
        <f t="shared" si="26"/>
        <v>8690.685252</v>
      </c>
      <c r="M29" s="13">
        <f t="shared" si="26"/>
        <v>8845.379449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4" t="s">
        <v>30</v>
      </c>
      <c r="B30" s="15">
        <v>2393.0</v>
      </c>
      <c r="C30" s="13">
        <f t="shared" ref="C30:M30" si="27">(B30*1.78%)+B30</f>
        <v>2435.5954</v>
      </c>
      <c r="D30" s="13">
        <f t="shared" si="27"/>
        <v>2478.948998</v>
      </c>
      <c r="E30" s="13">
        <f t="shared" si="27"/>
        <v>2523.07429</v>
      </c>
      <c r="F30" s="13">
        <f t="shared" si="27"/>
        <v>2567.985013</v>
      </c>
      <c r="G30" s="13">
        <f t="shared" si="27"/>
        <v>2613.695146</v>
      </c>
      <c r="H30" s="13">
        <f t="shared" si="27"/>
        <v>2660.218919</v>
      </c>
      <c r="I30" s="13">
        <f t="shared" si="27"/>
        <v>2707.570816</v>
      </c>
      <c r="J30" s="13">
        <f t="shared" si="27"/>
        <v>2755.765577</v>
      </c>
      <c r="K30" s="13">
        <f t="shared" si="27"/>
        <v>2804.818204</v>
      </c>
      <c r="L30" s="13">
        <f t="shared" si="27"/>
        <v>2854.743968</v>
      </c>
      <c r="M30" s="13">
        <f t="shared" si="27"/>
        <v>2905.558411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4" t="s">
        <v>31</v>
      </c>
      <c r="B31" s="15">
        <v>5850.0</v>
      </c>
      <c r="C31" s="13">
        <f t="shared" ref="C31:M31" si="28">(B31*1.78%)+B31</f>
        <v>5954.13</v>
      </c>
      <c r="D31" s="13">
        <f t="shared" si="28"/>
        <v>6060.113514</v>
      </c>
      <c r="E31" s="13">
        <f t="shared" si="28"/>
        <v>6167.983535</v>
      </c>
      <c r="F31" s="13">
        <f t="shared" si="28"/>
        <v>6277.773641</v>
      </c>
      <c r="G31" s="13">
        <f t="shared" si="28"/>
        <v>6389.518012</v>
      </c>
      <c r="H31" s="13">
        <f t="shared" si="28"/>
        <v>6503.251433</v>
      </c>
      <c r="I31" s="13">
        <f t="shared" si="28"/>
        <v>6619.009308</v>
      </c>
      <c r="J31" s="13">
        <f t="shared" si="28"/>
        <v>6736.827674</v>
      </c>
      <c r="K31" s="13">
        <f t="shared" si="28"/>
        <v>6856.743207</v>
      </c>
      <c r="L31" s="13">
        <f t="shared" si="28"/>
        <v>6978.793236</v>
      </c>
      <c r="M31" s="13">
        <f t="shared" si="28"/>
        <v>7103.015755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4" t="s">
        <v>32</v>
      </c>
      <c r="B32" s="15">
        <v>9778.0</v>
      </c>
      <c r="C32" s="13">
        <f t="shared" ref="C32:M32" si="29">(B32*1.78%)+B32</f>
        <v>9952.0484</v>
      </c>
      <c r="D32" s="13">
        <f t="shared" si="29"/>
        <v>10129.19486</v>
      </c>
      <c r="E32" s="13">
        <f t="shared" si="29"/>
        <v>10309.49453</v>
      </c>
      <c r="F32" s="13">
        <f t="shared" si="29"/>
        <v>10493.00353</v>
      </c>
      <c r="G32" s="13">
        <f t="shared" si="29"/>
        <v>10679.779</v>
      </c>
      <c r="H32" s="13">
        <f t="shared" si="29"/>
        <v>10869.87906</v>
      </c>
      <c r="I32" s="13">
        <f t="shared" si="29"/>
        <v>11063.36291</v>
      </c>
      <c r="J32" s="13">
        <f t="shared" si="29"/>
        <v>11260.29077</v>
      </c>
      <c r="K32" s="13">
        <f t="shared" si="29"/>
        <v>11460.72394</v>
      </c>
      <c r="L32" s="13">
        <f t="shared" si="29"/>
        <v>11664.72483</v>
      </c>
      <c r="M32" s="13">
        <f t="shared" si="29"/>
        <v>11872.35693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4" t="s">
        <v>33</v>
      </c>
      <c r="B33" s="15">
        <v>3273.0</v>
      </c>
      <c r="C33" s="13">
        <f t="shared" ref="C33:M33" si="30">(B33*1.78%)+B33</f>
        <v>3331.2594</v>
      </c>
      <c r="D33" s="13">
        <f t="shared" si="30"/>
        <v>3390.555817</v>
      </c>
      <c r="E33" s="13">
        <f t="shared" si="30"/>
        <v>3450.907711</v>
      </c>
      <c r="F33" s="13">
        <f t="shared" si="30"/>
        <v>3512.333868</v>
      </c>
      <c r="G33" s="13">
        <f t="shared" si="30"/>
        <v>3574.853411</v>
      </c>
      <c r="H33" s="13">
        <f t="shared" si="30"/>
        <v>3638.485802</v>
      </c>
      <c r="I33" s="13">
        <f t="shared" si="30"/>
        <v>3703.250849</v>
      </c>
      <c r="J33" s="13">
        <f t="shared" si="30"/>
        <v>3769.168714</v>
      </c>
      <c r="K33" s="13">
        <f t="shared" si="30"/>
        <v>3836.259917</v>
      </c>
      <c r="L33" s="13">
        <f t="shared" si="30"/>
        <v>3904.545344</v>
      </c>
      <c r="M33" s="13">
        <f t="shared" si="30"/>
        <v>3974.046251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4" t="s">
        <v>34</v>
      </c>
      <c r="B34" s="15">
        <v>3610.0</v>
      </c>
      <c r="C34" s="13">
        <f t="shared" ref="C34:M34" si="31">(B34*1.78%)+B34</f>
        <v>3674.258</v>
      </c>
      <c r="D34" s="13">
        <f t="shared" si="31"/>
        <v>3739.659792</v>
      </c>
      <c r="E34" s="13">
        <f t="shared" si="31"/>
        <v>3806.225737</v>
      </c>
      <c r="F34" s="13">
        <f t="shared" si="31"/>
        <v>3873.976555</v>
      </c>
      <c r="G34" s="13">
        <f t="shared" si="31"/>
        <v>3942.933337</v>
      </c>
      <c r="H34" s="13">
        <f t="shared" si="31"/>
        <v>4013.117551</v>
      </c>
      <c r="I34" s="13">
        <f t="shared" si="31"/>
        <v>4084.551043</v>
      </c>
      <c r="J34" s="13">
        <f t="shared" si="31"/>
        <v>4157.256052</v>
      </c>
      <c r="K34" s="13">
        <f t="shared" si="31"/>
        <v>4231.25521</v>
      </c>
      <c r="L34" s="13">
        <f t="shared" si="31"/>
        <v>4306.571552</v>
      </c>
      <c r="M34" s="13">
        <f t="shared" si="31"/>
        <v>4383.228526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4" t="s">
        <v>35</v>
      </c>
      <c r="B35" s="15">
        <v>1168.0</v>
      </c>
      <c r="C35" s="13">
        <f t="shared" ref="C35:M35" si="32">(B35*1.78%)+B35</f>
        <v>1188.7904</v>
      </c>
      <c r="D35" s="13">
        <f t="shared" si="32"/>
        <v>1209.950869</v>
      </c>
      <c r="E35" s="13">
        <f t="shared" si="32"/>
        <v>1231.487995</v>
      </c>
      <c r="F35" s="13">
        <f t="shared" si="32"/>
        <v>1253.408481</v>
      </c>
      <c r="G35" s="13">
        <f t="shared" si="32"/>
        <v>1275.719152</v>
      </c>
      <c r="H35" s="13">
        <f t="shared" si="32"/>
        <v>1298.426953</v>
      </c>
      <c r="I35" s="13">
        <f t="shared" si="32"/>
        <v>1321.538953</v>
      </c>
      <c r="J35" s="13">
        <f t="shared" si="32"/>
        <v>1345.062346</v>
      </c>
      <c r="K35" s="13">
        <f t="shared" si="32"/>
        <v>1369.004456</v>
      </c>
      <c r="L35" s="13">
        <f t="shared" si="32"/>
        <v>1393.372735</v>
      </c>
      <c r="M35" s="13">
        <f t="shared" si="32"/>
        <v>1418.17477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4" t="s">
        <v>37</v>
      </c>
      <c r="B36" s="15">
        <v>2190.0</v>
      </c>
      <c r="C36" s="13">
        <f t="shared" ref="C36:M36" si="33">(B36*1.78%)+B36</f>
        <v>2228.982</v>
      </c>
      <c r="D36" s="13">
        <f t="shared" si="33"/>
        <v>2268.65788</v>
      </c>
      <c r="E36" s="13">
        <f t="shared" si="33"/>
        <v>2309.03999</v>
      </c>
      <c r="F36" s="13">
        <f t="shared" si="33"/>
        <v>2350.140902</v>
      </c>
      <c r="G36" s="13">
        <f t="shared" si="33"/>
        <v>2391.97341</v>
      </c>
      <c r="H36" s="13">
        <f t="shared" si="33"/>
        <v>2434.550536</v>
      </c>
      <c r="I36" s="13">
        <f t="shared" si="33"/>
        <v>2477.885536</v>
      </c>
      <c r="J36" s="13">
        <f t="shared" si="33"/>
        <v>2521.991899</v>
      </c>
      <c r="K36" s="13">
        <f t="shared" si="33"/>
        <v>2566.883354</v>
      </c>
      <c r="L36" s="13">
        <f t="shared" si="33"/>
        <v>2612.573878</v>
      </c>
      <c r="M36" s="13">
        <f t="shared" si="33"/>
        <v>2659.077693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21" t="s">
        <v>38</v>
      </c>
      <c r="B37" s="22">
        <v>1438.0</v>
      </c>
      <c r="C37" s="24">
        <f t="shared" ref="C37:M37" si="34">(B37*1.78%)+B37</f>
        <v>1463.5964</v>
      </c>
      <c r="D37" s="24">
        <f t="shared" si="34"/>
        <v>1489.648416</v>
      </c>
      <c r="E37" s="24">
        <f t="shared" si="34"/>
        <v>1516.164158</v>
      </c>
      <c r="F37" s="24">
        <f t="shared" si="34"/>
        <v>1543.15188</v>
      </c>
      <c r="G37" s="24">
        <f t="shared" si="34"/>
        <v>1570.619983</v>
      </c>
      <c r="H37" s="24">
        <f t="shared" si="34"/>
        <v>1598.577019</v>
      </c>
      <c r="I37" s="24">
        <f t="shared" si="34"/>
        <v>1627.03169</v>
      </c>
      <c r="J37" s="24">
        <f t="shared" si="34"/>
        <v>1655.992854</v>
      </c>
      <c r="K37" s="24">
        <f t="shared" si="34"/>
        <v>1685.469527</v>
      </c>
      <c r="L37" s="24">
        <f t="shared" si="34"/>
        <v>1715.470884</v>
      </c>
      <c r="M37" s="24">
        <f t="shared" si="34"/>
        <v>1746.006266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27" t="s">
        <v>39</v>
      </c>
      <c r="B38" s="26">
        <f t="shared" ref="B38:L38" si="35">SUM(B4:B37)</f>
        <v>144577</v>
      </c>
      <c r="C38" s="26">
        <f t="shared" si="35"/>
        <v>147150.4706</v>
      </c>
      <c r="D38" s="26">
        <f t="shared" si="35"/>
        <v>149769.749</v>
      </c>
      <c r="E38" s="26">
        <f t="shared" si="35"/>
        <v>152435.6505</v>
      </c>
      <c r="F38" s="26">
        <f t="shared" si="35"/>
        <v>155149.0051</v>
      </c>
      <c r="G38" s="26">
        <f t="shared" si="35"/>
        <v>157910.6574</v>
      </c>
      <c r="H38" s="26">
        <f t="shared" si="35"/>
        <v>160721.4671</v>
      </c>
      <c r="I38" s="26">
        <f t="shared" si="35"/>
        <v>163582.3092</v>
      </c>
      <c r="J38" s="26">
        <f t="shared" si="35"/>
        <v>166494.0743</v>
      </c>
      <c r="K38" s="26">
        <f t="shared" si="35"/>
        <v>169457.6688</v>
      </c>
      <c r="L38" s="26">
        <f t="shared" si="35"/>
        <v>172474.0153</v>
      </c>
      <c r="M38" s="33">
        <f>(L38*1.78%)+L38</f>
        <v>175544.0528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5"/>
      <c r="B39" s="34"/>
      <c r="C39" s="34"/>
      <c r="D39" s="34"/>
      <c r="E39" s="34"/>
      <c r="F39" s="34"/>
      <c r="G39" s="5"/>
      <c r="H39" s="5"/>
      <c r="I39" s="5"/>
      <c r="J39" s="5"/>
      <c r="K39" s="5"/>
      <c r="L39" s="35"/>
      <c r="M39" s="35" t="s">
        <v>41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3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3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12" width="11.29"/>
    <col customWidth="1" min="13" max="15" width="9.86"/>
    <col customWidth="1" min="16" max="26" width="8.0"/>
  </cols>
  <sheetData>
    <row r="1" ht="15.0" customHeight="1">
      <c r="A1" s="1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2</v>
      </c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7" t="s">
        <v>3</v>
      </c>
      <c r="B4" s="7">
        <v>2020.0</v>
      </c>
      <c r="C4" s="7">
        <v>2021.0</v>
      </c>
      <c r="D4" s="7">
        <v>2022.0</v>
      </c>
      <c r="E4" s="7">
        <v>2023.0</v>
      </c>
      <c r="F4" s="7">
        <v>2024.0</v>
      </c>
      <c r="G4" s="7">
        <v>2025.0</v>
      </c>
      <c r="H4" s="7">
        <v>2026.0</v>
      </c>
      <c r="I4" s="7">
        <v>2027.0</v>
      </c>
      <c r="J4" s="7">
        <v>2028.0</v>
      </c>
      <c r="K4" s="7">
        <v>2029.0</v>
      </c>
      <c r="L4" s="7">
        <v>2030.0</v>
      </c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 t="s">
        <v>4</v>
      </c>
      <c r="B5" s="11">
        <v>1385.0</v>
      </c>
      <c r="C5" s="11">
        <f t="shared" ref="C5:L5" si="1">B5+(B5*1.78%)</f>
        <v>1409.653</v>
      </c>
      <c r="D5" s="11">
        <f t="shared" si="1"/>
        <v>1434.744823</v>
      </c>
      <c r="E5" s="11">
        <f t="shared" si="1"/>
        <v>1460.283281</v>
      </c>
      <c r="F5" s="11">
        <f t="shared" si="1"/>
        <v>1486.276324</v>
      </c>
      <c r="G5" s="11">
        <f t="shared" si="1"/>
        <v>1512.732042</v>
      </c>
      <c r="H5" s="11">
        <f t="shared" si="1"/>
        <v>1539.658673</v>
      </c>
      <c r="I5" s="11">
        <f t="shared" si="1"/>
        <v>1567.064597</v>
      </c>
      <c r="J5" s="11">
        <f t="shared" si="1"/>
        <v>1594.958347</v>
      </c>
      <c r="K5" s="11">
        <f t="shared" si="1"/>
        <v>1623.348605</v>
      </c>
      <c r="L5" s="11">
        <f t="shared" si="1"/>
        <v>1652.244211</v>
      </c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0" t="s">
        <v>5</v>
      </c>
      <c r="B6" s="11">
        <v>550.0</v>
      </c>
      <c r="C6" s="11">
        <f t="shared" ref="C6:L6" si="2">B6+(B6*1.78%)</f>
        <v>559.79</v>
      </c>
      <c r="D6" s="11">
        <f t="shared" si="2"/>
        <v>569.754262</v>
      </c>
      <c r="E6" s="11">
        <f t="shared" si="2"/>
        <v>579.8958879</v>
      </c>
      <c r="F6" s="11">
        <f t="shared" si="2"/>
        <v>590.2180347</v>
      </c>
      <c r="G6" s="11">
        <f t="shared" si="2"/>
        <v>600.7239157</v>
      </c>
      <c r="H6" s="11">
        <f t="shared" si="2"/>
        <v>611.4168014</v>
      </c>
      <c r="I6" s="11">
        <f t="shared" si="2"/>
        <v>622.3000204</v>
      </c>
      <c r="J6" s="11">
        <f t="shared" si="2"/>
        <v>633.3769608</v>
      </c>
      <c r="K6" s="11">
        <f t="shared" si="2"/>
        <v>644.6510707</v>
      </c>
      <c r="L6" s="11">
        <f t="shared" si="2"/>
        <v>656.1258598</v>
      </c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 t="s">
        <v>6</v>
      </c>
      <c r="B7" s="11">
        <v>1471.0</v>
      </c>
      <c r="C7" s="11">
        <f t="shared" ref="C7:L7" si="3">B7+(B7*1.78%)</f>
        <v>1497.1838</v>
      </c>
      <c r="D7" s="11">
        <f t="shared" si="3"/>
        <v>1523.833672</v>
      </c>
      <c r="E7" s="11">
        <f t="shared" si="3"/>
        <v>1550.957911</v>
      </c>
      <c r="F7" s="11">
        <f t="shared" si="3"/>
        <v>1578.564962</v>
      </c>
      <c r="G7" s="11">
        <f t="shared" si="3"/>
        <v>1606.663418</v>
      </c>
      <c r="H7" s="11">
        <f t="shared" si="3"/>
        <v>1635.262027</v>
      </c>
      <c r="I7" s="11">
        <f t="shared" si="3"/>
        <v>1664.369691</v>
      </c>
      <c r="J7" s="11">
        <f t="shared" si="3"/>
        <v>1693.995472</v>
      </c>
      <c r="K7" s="11">
        <f t="shared" si="3"/>
        <v>1724.148591</v>
      </c>
      <c r="L7" s="11">
        <f t="shared" si="3"/>
        <v>1754.838436</v>
      </c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0" t="s">
        <v>7</v>
      </c>
      <c r="B8" s="11">
        <v>389.0</v>
      </c>
      <c r="C8" s="11">
        <f t="shared" ref="C8:L8" si="4">B8+(B8*1.78%)</f>
        <v>395.9242</v>
      </c>
      <c r="D8" s="11">
        <f t="shared" si="4"/>
        <v>402.9716508</v>
      </c>
      <c r="E8" s="11">
        <f t="shared" si="4"/>
        <v>410.1445461</v>
      </c>
      <c r="F8" s="11">
        <f t="shared" si="4"/>
        <v>417.4451191</v>
      </c>
      <c r="G8" s="11">
        <f t="shared" si="4"/>
        <v>424.8756422</v>
      </c>
      <c r="H8" s="11">
        <f t="shared" si="4"/>
        <v>432.4384286</v>
      </c>
      <c r="I8" s="11">
        <f t="shared" si="4"/>
        <v>440.1358326</v>
      </c>
      <c r="J8" s="11">
        <f t="shared" si="4"/>
        <v>447.9702505</v>
      </c>
      <c r="K8" s="11">
        <f t="shared" si="4"/>
        <v>455.9441209</v>
      </c>
      <c r="L8" s="11">
        <f t="shared" si="4"/>
        <v>464.0599263</v>
      </c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 t="s">
        <v>8</v>
      </c>
      <c r="B9" s="11">
        <v>561.0</v>
      </c>
      <c r="C9" s="11">
        <f t="shared" ref="C9:L9" si="5">B9+(B9*1.78%)</f>
        <v>570.9858</v>
      </c>
      <c r="D9" s="11">
        <f t="shared" si="5"/>
        <v>581.1493472</v>
      </c>
      <c r="E9" s="11">
        <f t="shared" si="5"/>
        <v>591.4938056</v>
      </c>
      <c r="F9" s="11">
        <f t="shared" si="5"/>
        <v>602.0223954</v>
      </c>
      <c r="G9" s="11">
        <f t="shared" si="5"/>
        <v>612.738394</v>
      </c>
      <c r="H9" s="11">
        <f t="shared" si="5"/>
        <v>623.6451374</v>
      </c>
      <c r="I9" s="11">
        <f t="shared" si="5"/>
        <v>634.7460209</v>
      </c>
      <c r="J9" s="11">
        <f t="shared" si="5"/>
        <v>646.0445</v>
      </c>
      <c r="K9" s="11">
        <f t="shared" si="5"/>
        <v>657.5440921</v>
      </c>
      <c r="L9" s="11">
        <f t="shared" si="5"/>
        <v>669.248377</v>
      </c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0" t="s">
        <v>9</v>
      </c>
      <c r="B10" s="11">
        <v>823.0</v>
      </c>
      <c r="C10" s="11">
        <f t="shared" ref="C10:L10" si="6">B10+(B10*1.78%)</f>
        <v>837.6494</v>
      </c>
      <c r="D10" s="11">
        <f t="shared" si="6"/>
        <v>852.5595593</v>
      </c>
      <c r="E10" s="11">
        <f t="shared" si="6"/>
        <v>867.7351195</v>
      </c>
      <c r="F10" s="11">
        <f t="shared" si="6"/>
        <v>883.1808046</v>
      </c>
      <c r="G10" s="11">
        <f t="shared" si="6"/>
        <v>898.9014229</v>
      </c>
      <c r="H10" s="11">
        <f t="shared" si="6"/>
        <v>914.9018683</v>
      </c>
      <c r="I10" s="11">
        <f t="shared" si="6"/>
        <v>931.1871215</v>
      </c>
      <c r="J10" s="11">
        <f t="shared" si="6"/>
        <v>947.7622523</v>
      </c>
      <c r="K10" s="11">
        <f t="shared" si="6"/>
        <v>964.6324204</v>
      </c>
      <c r="L10" s="11">
        <f t="shared" si="6"/>
        <v>981.8028774</v>
      </c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0" t="s">
        <v>10</v>
      </c>
      <c r="B11" s="11">
        <v>1201.0</v>
      </c>
      <c r="C11" s="11">
        <f t="shared" ref="C11:L11" si="7">B11+(B11*1.78%)</f>
        <v>1222.3778</v>
      </c>
      <c r="D11" s="11">
        <f t="shared" si="7"/>
        <v>1244.136125</v>
      </c>
      <c r="E11" s="11">
        <f t="shared" si="7"/>
        <v>1266.281748</v>
      </c>
      <c r="F11" s="11">
        <f t="shared" si="7"/>
        <v>1288.821563</v>
      </c>
      <c r="G11" s="11">
        <f t="shared" si="7"/>
        <v>1311.762587</v>
      </c>
      <c r="H11" s="11">
        <f t="shared" si="7"/>
        <v>1335.111961</v>
      </c>
      <c r="I11" s="11">
        <f t="shared" si="7"/>
        <v>1358.876954</v>
      </c>
      <c r="J11" s="11">
        <f t="shared" si="7"/>
        <v>1383.064964</v>
      </c>
      <c r="K11" s="11">
        <f t="shared" si="7"/>
        <v>1407.68352</v>
      </c>
      <c r="L11" s="11">
        <f t="shared" si="7"/>
        <v>1432.740287</v>
      </c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0" t="s">
        <v>11</v>
      </c>
      <c r="B12" s="11">
        <v>1558.0</v>
      </c>
      <c r="C12" s="11">
        <f t="shared" ref="C12:L12" si="8">B12+(B12*1.78%)</f>
        <v>1585.7324</v>
      </c>
      <c r="D12" s="11">
        <f t="shared" si="8"/>
        <v>1613.958437</v>
      </c>
      <c r="E12" s="11">
        <f t="shared" si="8"/>
        <v>1642.686897</v>
      </c>
      <c r="F12" s="11">
        <f t="shared" si="8"/>
        <v>1671.926724</v>
      </c>
      <c r="G12" s="11">
        <f t="shared" si="8"/>
        <v>1701.687019</v>
      </c>
      <c r="H12" s="11">
        <f t="shared" si="8"/>
        <v>1731.977048</v>
      </c>
      <c r="I12" s="11">
        <f t="shared" si="8"/>
        <v>1762.80624</v>
      </c>
      <c r="J12" s="11">
        <f t="shared" si="8"/>
        <v>1794.184191</v>
      </c>
      <c r="K12" s="11">
        <f t="shared" si="8"/>
        <v>1826.120669</v>
      </c>
      <c r="L12" s="11">
        <f t="shared" si="8"/>
        <v>1858.625617</v>
      </c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0" t="s">
        <v>12</v>
      </c>
      <c r="B13" s="11">
        <v>410.0</v>
      </c>
      <c r="C13" s="11">
        <f t="shared" ref="C13:L13" si="9">B13+(B13*1.78%)</f>
        <v>417.298</v>
      </c>
      <c r="D13" s="11">
        <f t="shared" si="9"/>
        <v>424.7259044</v>
      </c>
      <c r="E13" s="11">
        <f t="shared" si="9"/>
        <v>432.2860255</v>
      </c>
      <c r="F13" s="11">
        <f t="shared" si="9"/>
        <v>439.9807168</v>
      </c>
      <c r="G13" s="11">
        <f t="shared" si="9"/>
        <v>447.8123735</v>
      </c>
      <c r="H13" s="11">
        <f t="shared" si="9"/>
        <v>455.7834338</v>
      </c>
      <c r="I13" s="11">
        <f t="shared" si="9"/>
        <v>463.8963789</v>
      </c>
      <c r="J13" s="11">
        <f t="shared" si="9"/>
        <v>472.1537344</v>
      </c>
      <c r="K13" s="11">
        <f t="shared" si="9"/>
        <v>480.5580709</v>
      </c>
      <c r="L13" s="11">
        <f t="shared" si="9"/>
        <v>489.1120046</v>
      </c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0" t="s">
        <v>13</v>
      </c>
      <c r="B14" s="11">
        <v>1525.0</v>
      </c>
      <c r="C14" s="11">
        <f t="shared" ref="C14:L14" si="10">B14+(B14*1.78%)</f>
        <v>1552.145</v>
      </c>
      <c r="D14" s="11">
        <f t="shared" si="10"/>
        <v>1579.773181</v>
      </c>
      <c r="E14" s="11">
        <f t="shared" si="10"/>
        <v>1607.893144</v>
      </c>
      <c r="F14" s="11">
        <f t="shared" si="10"/>
        <v>1636.513642</v>
      </c>
      <c r="G14" s="11">
        <f t="shared" si="10"/>
        <v>1665.643584</v>
      </c>
      <c r="H14" s="11">
        <f t="shared" si="10"/>
        <v>1695.29204</v>
      </c>
      <c r="I14" s="11">
        <f t="shared" si="10"/>
        <v>1725.468239</v>
      </c>
      <c r="J14" s="11">
        <f t="shared" si="10"/>
        <v>1756.181573</v>
      </c>
      <c r="K14" s="11">
        <f t="shared" si="10"/>
        <v>1787.441605</v>
      </c>
      <c r="L14" s="11">
        <f t="shared" si="10"/>
        <v>1819.258066</v>
      </c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0" t="s">
        <v>14</v>
      </c>
      <c r="B15" s="11">
        <v>1140.0</v>
      </c>
      <c r="C15" s="11">
        <f t="shared" ref="C15:L15" si="11">B15+(B15*1.78%)</f>
        <v>1160.292</v>
      </c>
      <c r="D15" s="11">
        <f t="shared" si="11"/>
        <v>1180.945198</v>
      </c>
      <c r="E15" s="11">
        <f t="shared" si="11"/>
        <v>1201.966022</v>
      </c>
      <c r="F15" s="11">
        <f t="shared" si="11"/>
        <v>1223.361017</v>
      </c>
      <c r="G15" s="11">
        <f t="shared" si="11"/>
        <v>1245.136843</v>
      </c>
      <c r="H15" s="11">
        <f t="shared" si="11"/>
        <v>1267.300279</v>
      </c>
      <c r="I15" s="11">
        <f t="shared" si="11"/>
        <v>1289.858224</v>
      </c>
      <c r="J15" s="11">
        <f t="shared" si="11"/>
        <v>1312.817701</v>
      </c>
      <c r="K15" s="11">
        <f t="shared" si="11"/>
        <v>1336.185856</v>
      </c>
      <c r="L15" s="11">
        <f t="shared" si="11"/>
        <v>1359.969964</v>
      </c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0" t="s">
        <v>15</v>
      </c>
      <c r="B16" s="11">
        <v>432.0</v>
      </c>
      <c r="C16" s="11">
        <f t="shared" ref="C16:L16" si="12">B16+(B16*1.78%)</f>
        <v>439.6896</v>
      </c>
      <c r="D16" s="11">
        <f t="shared" si="12"/>
        <v>447.5160749</v>
      </c>
      <c r="E16" s="11">
        <f t="shared" si="12"/>
        <v>455.481861</v>
      </c>
      <c r="F16" s="11">
        <f t="shared" si="12"/>
        <v>463.5894381</v>
      </c>
      <c r="G16" s="11">
        <f t="shared" si="12"/>
        <v>471.8413301</v>
      </c>
      <c r="H16" s="11">
        <f t="shared" si="12"/>
        <v>480.2401058</v>
      </c>
      <c r="I16" s="11">
        <f t="shared" si="12"/>
        <v>488.7883797</v>
      </c>
      <c r="J16" s="11">
        <f t="shared" si="12"/>
        <v>497.4888129</v>
      </c>
      <c r="K16" s="11">
        <f t="shared" si="12"/>
        <v>506.3441137</v>
      </c>
      <c r="L16" s="11">
        <f t="shared" si="12"/>
        <v>515.3570389</v>
      </c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0" t="s">
        <v>16</v>
      </c>
      <c r="B17" s="11">
        <v>1784.0</v>
      </c>
      <c r="C17" s="11">
        <f t="shared" ref="C17:L17" si="13">B17+(B17*1.78%)</f>
        <v>1815.7552</v>
      </c>
      <c r="D17" s="11">
        <f t="shared" si="13"/>
        <v>1848.075643</v>
      </c>
      <c r="E17" s="11">
        <f t="shared" si="13"/>
        <v>1880.971389</v>
      </c>
      <c r="F17" s="11">
        <f t="shared" si="13"/>
        <v>1914.45268</v>
      </c>
      <c r="G17" s="11">
        <f t="shared" si="13"/>
        <v>1948.529937</v>
      </c>
      <c r="H17" s="11">
        <f t="shared" si="13"/>
        <v>1983.21377</v>
      </c>
      <c r="I17" s="11">
        <f t="shared" si="13"/>
        <v>2018.514975</v>
      </c>
      <c r="J17" s="11">
        <f t="shared" si="13"/>
        <v>2054.444542</v>
      </c>
      <c r="K17" s="11">
        <f t="shared" si="13"/>
        <v>2091.013655</v>
      </c>
      <c r="L17" s="11">
        <f t="shared" si="13"/>
        <v>2128.233698</v>
      </c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 t="s">
        <v>17</v>
      </c>
      <c r="B18" s="11">
        <v>871.0</v>
      </c>
      <c r="C18" s="11">
        <f t="shared" ref="C18:L18" si="14">B18+(B18*1.78%)</f>
        <v>886.5038</v>
      </c>
      <c r="D18" s="11">
        <f t="shared" si="14"/>
        <v>902.2835676</v>
      </c>
      <c r="E18" s="11">
        <f t="shared" si="14"/>
        <v>918.3442151</v>
      </c>
      <c r="F18" s="11">
        <f t="shared" si="14"/>
        <v>934.6907422</v>
      </c>
      <c r="G18" s="11">
        <f t="shared" si="14"/>
        <v>951.3282374</v>
      </c>
      <c r="H18" s="11">
        <f t="shared" si="14"/>
        <v>968.26188</v>
      </c>
      <c r="I18" s="11">
        <f t="shared" si="14"/>
        <v>985.4969415</v>
      </c>
      <c r="J18" s="11">
        <f t="shared" si="14"/>
        <v>1003.038787</v>
      </c>
      <c r="K18" s="11">
        <f t="shared" si="14"/>
        <v>1020.892877</v>
      </c>
      <c r="L18" s="11">
        <f t="shared" si="14"/>
        <v>1039.064771</v>
      </c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0" t="s">
        <v>18</v>
      </c>
      <c r="B19" s="11">
        <v>653.0</v>
      </c>
      <c r="C19" s="11">
        <f t="shared" ref="C19:L19" si="15">B19+(B19*1.78%)</f>
        <v>664.6234</v>
      </c>
      <c r="D19" s="11">
        <f t="shared" si="15"/>
        <v>676.4536965</v>
      </c>
      <c r="E19" s="11">
        <f t="shared" si="15"/>
        <v>688.4945723</v>
      </c>
      <c r="F19" s="11">
        <f t="shared" si="15"/>
        <v>700.7497757</v>
      </c>
      <c r="G19" s="11">
        <f t="shared" si="15"/>
        <v>713.2231217</v>
      </c>
      <c r="H19" s="11">
        <f t="shared" si="15"/>
        <v>725.9184933</v>
      </c>
      <c r="I19" s="11">
        <f t="shared" si="15"/>
        <v>738.8398425</v>
      </c>
      <c r="J19" s="11">
        <f t="shared" si="15"/>
        <v>751.9911917</v>
      </c>
      <c r="K19" s="11">
        <f t="shared" si="15"/>
        <v>765.3766349</v>
      </c>
      <c r="L19" s="11">
        <f t="shared" si="15"/>
        <v>779.000339</v>
      </c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0" t="s">
        <v>19</v>
      </c>
      <c r="B20" s="11">
        <v>877.0</v>
      </c>
      <c r="C20" s="11">
        <f t="shared" ref="C20:L20" si="16">B20+(B20*1.78%)</f>
        <v>892.6106</v>
      </c>
      <c r="D20" s="11">
        <f t="shared" si="16"/>
        <v>908.4990687</v>
      </c>
      <c r="E20" s="11">
        <f t="shared" si="16"/>
        <v>924.6703521</v>
      </c>
      <c r="F20" s="11">
        <f t="shared" si="16"/>
        <v>941.1294844</v>
      </c>
      <c r="G20" s="11">
        <f t="shared" si="16"/>
        <v>957.8815892</v>
      </c>
      <c r="H20" s="11">
        <f t="shared" si="16"/>
        <v>974.9318815</v>
      </c>
      <c r="I20" s="11">
        <f t="shared" si="16"/>
        <v>992.285669</v>
      </c>
      <c r="J20" s="11">
        <f t="shared" si="16"/>
        <v>1009.948354</v>
      </c>
      <c r="K20" s="11">
        <f t="shared" si="16"/>
        <v>1027.925435</v>
      </c>
      <c r="L20" s="11">
        <f t="shared" si="16"/>
        <v>1046.222507</v>
      </c>
      <c r="M20" s="4"/>
      <c r="N20" s="4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0" t="s">
        <v>20</v>
      </c>
      <c r="B21" s="11">
        <v>445.0</v>
      </c>
      <c r="C21" s="11">
        <f t="shared" ref="C21:L21" si="17">B21+(B21*1.78%)</f>
        <v>452.921</v>
      </c>
      <c r="D21" s="11">
        <f t="shared" si="17"/>
        <v>460.9829938</v>
      </c>
      <c r="E21" s="11">
        <f t="shared" si="17"/>
        <v>469.1884911</v>
      </c>
      <c r="F21" s="11">
        <f t="shared" si="17"/>
        <v>477.5400462</v>
      </c>
      <c r="G21" s="11">
        <f t="shared" si="17"/>
        <v>486.0402591</v>
      </c>
      <c r="H21" s="11">
        <f t="shared" si="17"/>
        <v>494.6917757</v>
      </c>
      <c r="I21" s="11">
        <f t="shared" si="17"/>
        <v>503.4972893</v>
      </c>
      <c r="J21" s="11">
        <f t="shared" si="17"/>
        <v>512.459541</v>
      </c>
      <c r="K21" s="11">
        <f t="shared" si="17"/>
        <v>521.5813209</v>
      </c>
      <c r="L21" s="11">
        <f t="shared" si="17"/>
        <v>530.8654684</v>
      </c>
      <c r="M21" s="4"/>
      <c r="N21" s="4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 t="s">
        <v>21</v>
      </c>
      <c r="B22" s="11">
        <v>774.0</v>
      </c>
      <c r="C22" s="11">
        <f t="shared" ref="C22:L22" si="18">B22+(B22*1.78%)</f>
        <v>787.7772</v>
      </c>
      <c r="D22" s="11">
        <f t="shared" si="18"/>
        <v>801.7996342</v>
      </c>
      <c r="E22" s="11">
        <f t="shared" si="18"/>
        <v>816.0716676</v>
      </c>
      <c r="F22" s="11">
        <f t="shared" si="18"/>
        <v>830.5977433</v>
      </c>
      <c r="G22" s="11">
        <f t="shared" si="18"/>
        <v>845.3823832</v>
      </c>
      <c r="H22" s="11">
        <f t="shared" si="18"/>
        <v>860.4301896</v>
      </c>
      <c r="I22" s="11">
        <f t="shared" si="18"/>
        <v>875.745847</v>
      </c>
      <c r="J22" s="11">
        <f t="shared" si="18"/>
        <v>891.334123</v>
      </c>
      <c r="K22" s="11">
        <f t="shared" si="18"/>
        <v>907.1998704</v>
      </c>
      <c r="L22" s="11">
        <f t="shared" si="18"/>
        <v>923.3480281</v>
      </c>
      <c r="M22" s="4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" t="s">
        <v>22</v>
      </c>
      <c r="B23" s="11">
        <v>1351.0</v>
      </c>
      <c r="C23" s="11">
        <f t="shared" ref="C23:L23" si="19">B23+(B23*1.78%)</f>
        <v>1375.0478</v>
      </c>
      <c r="D23" s="11">
        <f t="shared" si="19"/>
        <v>1399.523651</v>
      </c>
      <c r="E23" s="11">
        <f t="shared" si="19"/>
        <v>1424.435172</v>
      </c>
      <c r="F23" s="11">
        <f t="shared" si="19"/>
        <v>1449.790118</v>
      </c>
      <c r="G23" s="11">
        <f t="shared" si="19"/>
        <v>1475.596382</v>
      </c>
      <c r="H23" s="11">
        <f t="shared" si="19"/>
        <v>1501.861998</v>
      </c>
      <c r="I23" s="11">
        <f t="shared" si="19"/>
        <v>1528.595141</v>
      </c>
      <c r="J23" s="11">
        <f t="shared" si="19"/>
        <v>1555.804135</v>
      </c>
      <c r="K23" s="11">
        <f t="shared" si="19"/>
        <v>1583.497448</v>
      </c>
      <c r="L23" s="11">
        <f t="shared" si="19"/>
        <v>1611.683703</v>
      </c>
      <c r="M23" s="4"/>
      <c r="N23" s="4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" t="s">
        <v>23</v>
      </c>
      <c r="B24" s="11">
        <v>1435.0</v>
      </c>
      <c r="C24" s="11">
        <f t="shared" ref="C24:L24" si="20">B24+(B24*1.78%)</f>
        <v>1460.543</v>
      </c>
      <c r="D24" s="11">
        <f t="shared" si="20"/>
        <v>1486.540665</v>
      </c>
      <c r="E24" s="11">
        <f t="shared" si="20"/>
        <v>1513.001089</v>
      </c>
      <c r="F24" s="11">
        <f t="shared" si="20"/>
        <v>1539.932509</v>
      </c>
      <c r="G24" s="11">
        <f t="shared" si="20"/>
        <v>1567.343307</v>
      </c>
      <c r="H24" s="11">
        <f t="shared" si="20"/>
        <v>1595.242018</v>
      </c>
      <c r="I24" s="11">
        <f t="shared" si="20"/>
        <v>1623.637326</v>
      </c>
      <c r="J24" s="11">
        <f t="shared" si="20"/>
        <v>1652.53807</v>
      </c>
      <c r="K24" s="11">
        <f t="shared" si="20"/>
        <v>1681.953248</v>
      </c>
      <c r="L24" s="11">
        <f t="shared" si="20"/>
        <v>1711.892016</v>
      </c>
      <c r="M24" s="4"/>
      <c r="N24" s="4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0" t="s">
        <v>24</v>
      </c>
      <c r="B25" s="11">
        <v>2156.0</v>
      </c>
      <c r="C25" s="11">
        <f t="shared" ref="C25:L25" si="21">B25+(B25*1.78%)</f>
        <v>2194.3768</v>
      </c>
      <c r="D25" s="11">
        <f t="shared" si="21"/>
        <v>2233.436707</v>
      </c>
      <c r="E25" s="11">
        <f t="shared" si="21"/>
        <v>2273.19188</v>
      </c>
      <c r="F25" s="11">
        <f t="shared" si="21"/>
        <v>2313.654696</v>
      </c>
      <c r="G25" s="11">
        <f t="shared" si="21"/>
        <v>2354.837749</v>
      </c>
      <c r="H25" s="11">
        <f t="shared" si="21"/>
        <v>2396.753861</v>
      </c>
      <c r="I25" s="11">
        <f t="shared" si="21"/>
        <v>2439.41608</v>
      </c>
      <c r="J25" s="11">
        <f t="shared" si="21"/>
        <v>2482.837686</v>
      </c>
      <c r="K25" s="11">
        <f t="shared" si="21"/>
        <v>2527.032197</v>
      </c>
      <c r="L25" s="11">
        <f t="shared" si="21"/>
        <v>2572.01337</v>
      </c>
      <c r="M25" s="4"/>
      <c r="N25" s="4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" t="s">
        <v>25</v>
      </c>
      <c r="B26" s="11">
        <v>359.0</v>
      </c>
      <c r="C26" s="11">
        <f t="shared" ref="C26:L26" si="22">B26+(B26*1.78%)</f>
        <v>365.3902</v>
      </c>
      <c r="D26" s="11">
        <f t="shared" si="22"/>
        <v>371.8941456</v>
      </c>
      <c r="E26" s="11">
        <f t="shared" si="22"/>
        <v>378.5138614</v>
      </c>
      <c r="F26" s="11">
        <f t="shared" si="22"/>
        <v>385.2514081</v>
      </c>
      <c r="G26" s="11">
        <f t="shared" si="22"/>
        <v>392.1088831</v>
      </c>
      <c r="H26" s="11">
        <f t="shared" si="22"/>
        <v>399.0884213</v>
      </c>
      <c r="I26" s="11">
        <f t="shared" si="22"/>
        <v>406.1921952</v>
      </c>
      <c r="J26" s="11">
        <f t="shared" si="22"/>
        <v>413.4224162</v>
      </c>
      <c r="K26" s="11">
        <f t="shared" si="22"/>
        <v>420.7813352</v>
      </c>
      <c r="L26" s="11">
        <f t="shared" si="22"/>
        <v>428.271243</v>
      </c>
      <c r="M26" s="4"/>
      <c r="N26" s="4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0" t="s">
        <v>26</v>
      </c>
      <c r="B27" s="11">
        <v>1282.0</v>
      </c>
      <c r="C27" s="11">
        <f t="shared" ref="C27:L27" si="23">B27+(B27*1.78%)</f>
        <v>1304.8196</v>
      </c>
      <c r="D27" s="11">
        <f t="shared" si="23"/>
        <v>1328.045389</v>
      </c>
      <c r="E27" s="11">
        <f t="shared" si="23"/>
        <v>1351.684597</v>
      </c>
      <c r="F27" s="11">
        <f t="shared" si="23"/>
        <v>1375.744583</v>
      </c>
      <c r="G27" s="11">
        <f t="shared" si="23"/>
        <v>1400.232836</v>
      </c>
      <c r="H27" s="11">
        <f t="shared" si="23"/>
        <v>1425.156981</v>
      </c>
      <c r="I27" s="11">
        <f t="shared" si="23"/>
        <v>1450.524775</v>
      </c>
      <c r="J27" s="11">
        <f t="shared" si="23"/>
        <v>1476.344116</v>
      </c>
      <c r="K27" s="11">
        <f t="shared" si="23"/>
        <v>1502.623041</v>
      </c>
      <c r="L27" s="11">
        <f t="shared" si="23"/>
        <v>1529.369731</v>
      </c>
      <c r="M27" s="4"/>
      <c r="N27" s="4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0" t="s">
        <v>27</v>
      </c>
      <c r="B28" s="11">
        <v>853.0</v>
      </c>
      <c r="C28" s="11">
        <f t="shared" ref="C28:L28" si="24">B28+(B28*1.78%)</f>
        <v>868.1834</v>
      </c>
      <c r="D28" s="11">
        <f t="shared" si="24"/>
        <v>883.6370645</v>
      </c>
      <c r="E28" s="11">
        <f t="shared" si="24"/>
        <v>899.3658043</v>
      </c>
      <c r="F28" s="11">
        <f t="shared" si="24"/>
        <v>915.3745156</v>
      </c>
      <c r="G28" s="11">
        <f t="shared" si="24"/>
        <v>931.668182</v>
      </c>
      <c r="H28" s="11">
        <f t="shared" si="24"/>
        <v>948.2518756</v>
      </c>
      <c r="I28" s="11">
        <f t="shared" si="24"/>
        <v>965.130759</v>
      </c>
      <c r="J28" s="11">
        <f t="shared" si="24"/>
        <v>982.3100865</v>
      </c>
      <c r="K28" s="11">
        <f t="shared" si="24"/>
        <v>999.795206</v>
      </c>
      <c r="L28" s="11">
        <f t="shared" si="24"/>
        <v>1017.591561</v>
      </c>
      <c r="M28" s="4"/>
      <c r="N28" s="4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0" t="s">
        <v>28</v>
      </c>
      <c r="B29" s="11">
        <v>1953.0</v>
      </c>
      <c r="C29" s="11">
        <f t="shared" ref="C29:L29" si="25">B29+(B29*1.78%)</f>
        <v>1987.7634</v>
      </c>
      <c r="D29" s="11">
        <f t="shared" si="25"/>
        <v>2023.145589</v>
      </c>
      <c r="E29" s="11">
        <f t="shared" si="25"/>
        <v>2059.15758</v>
      </c>
      <c r="F29" s="11">
        <f t="shared" si="25"/>
        <v>2095.810585</v>
      </c>
      <c r="G29" s="11">
        <f t="shared" si="25"/>
        <v>2133.116013</v>
      </c>
      <c r="H29" s="11">
        <f t="shared" si="25"/>
        <v>2171.085478</v>
      </c>
      <c r="I29" s="11">
        <f t="shared" si="25"/>
        <v>2209.7308</v>
      </c>
      <c r="J29" s="11">
        <f t="shared" si="25"/>
        <v>2249.064008</v>
      </c>
      <c r="K29" s="11">
        <f t="shared" si="25"/>
        <v>2289.097347</v>
      </c>
      <c r="L29" s="11">
        <f t="shared" si="25"/>
        <v>2329.84328</v>
      </c>
      <c r="M29" s="4"/>
      <c r="N29" s="4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0" t="s">
        <v>29</v>
      </c>
      <c r="B30" s="11">
        <v>1761.0</v>
      </c>
      <c r="C30" s="11">
        <f t="shared" ref="C30:L30" si="26">B30+(B30*1.78%)</f>
        <v>1792.3458</v>
      </c>
      <c r="D30" s="11">
        <f t="shared" si="26"/>
        <v>1824.249555</v>
      </c>
      <c r="E30" s="11">
        <f t="shared" si="26"/>
        <v>1856.721197</v>
      </c>
      <c r="F30" s="11">
        <f t="shared" si="26"/>
        <v>1889.770835</v>
      </c>
      <c r="G30" s="11">
        <f t="shared" si="26"/>
        <v>1923.408755</v>
      </c>
      <c r="H30" s="11">
        <f t="shared" si="26"/>
        <v>1957.645431</v>
      </c>
      <c r="I30" s="11">
        <f t="shared" si="26"/>
        <v>1992.49152</v>
      </c>
      <c r="J30" s="11">
        <f t="shared" si="26"/>
        <v>2027.957869</v>
      </c>
      <c r="K30" s="11">
        <f t="shared" si="26"/>
        <v>2064.055519</v>
      </c>
      <c r="L30" s="11">
        <f t="shared" si="26"/>
        <v>2100.795707</v>
      </c>
      <c r="M30" s="4"/>
      <c r="N30" s="4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" t="s">
        <v>30</v>
      </c>
      <c r="B31" s="11">
        <v>603.0</v>
      </c>
      <c r="C31" s="11">
        <f t="shared" ref="C31:L31" si="27">B31+(B31*1.78%)</f>
        <v>613.7334</v>
      </c>
      <c r="D31" s="11">
        <f t="shared" si="27"/>
        <v>624.6578545</v>
      </c>
      <c r="E31" s="11">
        <f t="shared" si="27"/>
        <v>635.7767643</v>
      </c>
      <c r="F31" s="11">
        <f t="shared" si="27"/>
        <v>647.0935907</v>
      </c>
      <c r="G31" s="11">
        <f t="shared" si="27"/>
        <v>658.6118567</v>
      </c>
      <c r="H31" s="11">
        <f t="shared" si="27"/>
        <v>670.3351477</v>
      </c>
      <c r="I31" s="11">
        <f t="shared" si="27"/>
        <v>682.2671133</v>
      </c>
      <c r="J31" s="11">
        <f t="shared" si="27"/>
        <v>694.4114679</v>
      </c>
      <c r="K31" s="11">
        <f t="shared" si="27"/>
        <v>706.7719921</v>
      </c>
      <c r="L31" s="11">
        <f t="shared" si="27"/>
        <v>719.3525335</v>
      </c>
      <c r="M31" s="4"/>
      <c r="N31" s="4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0" t="s">
        <v>31</v>
      </c>
      <c r="B32" s="11">
        <v>1398.0</v>
      </c>
      <c r="C32" s="11">
        <f t="shared" ref="C32:L32" si="28">B32+(B32*1.78%)</f>
        <v>1422.8844</v>
      </c>
      <c r="D32" s="11">
        <f t="shared" si="28"/>
        <v>1448.211742</v>
      </c>
      <c r="E32" s="11">
        <f t="shared" si="28"/>
        <v>1473.989911</v>
      </c>
      <c r="F32" s="11">
        <f t="shared" si="28"/>
        <v>1500.226932</v>
      </c>
      <c r="G32" s="11">
        <f t="shared" si="28"/>
        <v>1526.930971</v>
      </c>
      <c r="H32" s="11">
        <f t="shared" si="28"/>
        <v>1554.110342</v>
      </c>
      <c r="I32" s="11">
        <f t="shared" si="28"/>
        <v>1581.773507</v>
      </c>
      <c r="J32" s="11">
        <f t="shared" si="28"/>
        <v>1609.929075</v>
      </c>
      <c r="K32" s="11">
        <f t="shared" si="28"/>
        <v>1638.585812</v>
      </c>
      <c r="L32" s="11">
        <f t="shared" si="28"/>
        <v>1667.75264</v>
      </c>
      <c r="M32" s="4"/>
      <c r="N32" s="4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0" t="s">
        <v>32</v>
      </c>
      <c r="B33" s="11">
        <v>2360.0</v>
      </c>
      <c r="C33" s="11">
        <f t="shared" ref="C33:L33" si="29">B33+(B33*1.78%)</f>
        <v>2402.008</v>
      </c>
      <c r="D33" s="11">
        <f t="shared" si="29"/>
        <v>2444.763742</v>
      </c>
      <c r="E33" s="11">
        <f t="shared" si="29"/>
        <v>2488.280537</v>
      </c>
      <c r="F33" s="11">
        <f t="shared" si="29"/>
        <v>2532.571931</v>
      </c>
      <c r="G33" s="11">
        <f t="shared" si="29"/>
        <v>2577.651711</v>
      </c>
      <c r="H33" s="11">
        <f t="shared" si="29"/>
        <v>2623.533911</v>
      </c>
      <c r="I33" s="11">
        <f t="shared" si="29"/>
        <v>2670.232815</v>
      </c>
      <c r="J33" s="11">
        <f t="shared" si="29"/>
        <v>2717.762959</v>
      </c>
      <c r="K33" s="11">
        <f t="shared" si="29"/>
        <v>2766.13914</v>
      </c>
      <c r="L33" s="11">
        <f t="shared" si="29"/>
        <v>2815.376416</v>
      </c>
      <c r="M33" s="4"/>
      <c r="N33" s="4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0" t="s">
        <v>33</v>
      </c>
      <c r="B34" s="11">
        <v>846.0</v>
      </c>
      <c r="C34" s="11">
        <f t="shared" ref="C34:L34" si="30">B34+(B34*1.78%)</f>
        <v>861.0588</v>
      </c>
      <c r="D34" s="11">
        <f t="shared" si="30"/>
        <v>876.3856466</v>
      </c>
      <c r="E34" s="11">
        <f t="shared" si="30"/>
        <v>891.9853112</v>
      </c>
      <c r="F34" s="11">
        <f t="shared" si="30"/>
        <v>907.8626497</v>
      </c>
      <c r="G34" s="11">
        <f t="shared" si="30"/>
        <v>924.0226049</v>
      </c>
      <c r="H34" s="11">
        <f t="shared" si="30"/>
        <v>940.4702072</v>
      </c>
      <c r="I34" s="11">
        <f t="shared" si="30"/>
        <v>957.2105769</v>
      </c>
      <c r="J34" s="11">
        <f t="shared" si="30"/>
        <v>974.2489252</v>
      </c>
      <c r="K34" s="11">
        <f t="shared" si="30"/>
        <v>991.590556</v>
      </c>
      <c r="L34" s="11">
        <f t="shared" si="30"/>
        <v>1009.240868</v>
      </c>
      <c r="M34" s="4"/>
      <c r="N34" s="4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0" t="s">
        <v>34</v>
      </c>
      <c r="B35" s="11">
        <v>858.0</v>
      </c>
      <c r="C35" s="11">
        <f t="shared" ref="C35:L35" si="31">B35+(B35*1.78%)</f>
        <v>873.2724</v>
      </c>
      <c r="D35" s="11">
        <f t="shared" si="31"/>
        <v>888.8166487</v>
      </c>
      <c r="E35" s="11">
        <f t="shared" si="31"/>
        <v>904.6375851</v>
      </c>
      <c r="F35" s="11">
        <f t="shared" si="31"/>
        <v>920.7401341</v>
      </c>
      <c r="G35" s="11">
        <f t="shared" si="31"/>
        <v>937.1293085</v>
      </c>
      <c r="H35" s="11">
        <f t="shared" si="31"/>
        <v>953.8102102</v>
      </c>
      <c r="I35" s="11">
        <f t="shared" si="31"/>
        <v>970.7880319</v>
      </c>
      <c r="J35" s="11">
        <f t="shared" si="31"/>
        <v>988.0680589</v>
      </c>
      <c r="K35" s="11">
        <f t="shared" si="31"/>
        <v>1005.65567</v>
      </c>
      <c r="L35" s="11">
        <f t="shared" si="31"/>
        <v>1023.556341</v>
      </c>
      <c r="M35" s="4"/>
      <c r="N35" s="4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0" t="s">
        <v>35</v>
      </c>
      <c r="B36" s="11">
        <v>289.0</v>
      </c>
      <c r="C36" s="11">
        <f t="shared" ref="C36:L36" si="32">B36+(B36*1.78%)</f>
        <v>294.1442</v>
      </c>
      <c r="D36" s="11">
        <f t="shared" si="32"/>
        <v>299.3799668</v>
      </c>
      <c r="E36" s="11">
        <f t="shared" si="32"/>
        <v>304.7089302</v>
      </c>
      <c r="F36" s="11">
        <f t="shared" si="32"/>
        <v>310.1327491</v>
      </c>
      <c r="G36" s="11">
        <f t="shared" si="32"/>
        <v>315.6531121</v>
      </c>
      <c r="H36" s="11">
        <f t="shared" si="32"/>
        <v>321.2717375</v>
      </c>
      <c r="I36" s="11">
        <f t="shared" si="32"/>
        <v>326.9903744</v>
      </c>
      <c r="J36" s="11">
        <f t="shared" si="32"/>
        <v>332.810803</v>
      </c>
      <c r="K36" s="11">
        <f t="shared" si="32"/>
        <v>338.7348353</v>
      </c>
      <c r="L36" s="11">
        <f t="shared" si="32"/>
        <v>344.7643154</v>
      </c>
      <c r="M36" s="16"/>
      <c r="N36" s="16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0" t="s">
        <v>36</v>
      </c>
      <c r="B37" s="11">
        <v>502.0</v>
      </c>
      <c r="C37" s="11">
        <f t="shared" ref="C37:L37" si="33">B37+(B37*1.78%)</f>
        <v>510.9356</v>
      </c>
      <c r="D37" s="11">
        <f t="shared" si="33"/>
        <v>520.0302537</v>
      </c>
      <c r="E37" s="11">
        <f t="shared" si="33"/>
        <v>529.2867922</v>
      </c>
      <c r="F37" s="11">
        <f t="shared" si="33"/>
        <v>538.7080971</v>
      </c>
      <c r="G37" s="11">
        <f t="shared" si="33"/>
        <v>548.2971012</v>
      </c>
      <c r="H37" s="11">
        <f t="shared" si="33"/>
        <v>558.0567896</v>
      </c>
      <c r="I37" s="11">
        <f t="shared" si="33"/>
        <v>567.9902005</v>
      </c>
      <c r="J37" s="11">
        <f t="shared" si="33"/>
        <v>578.1004261</v>
      </c>
      <c r="K37" s="11">
        <f t="shared" si="33"/>
        <v>588.3906136</v>
      </c>
      <c r="L37" s="11">
        <f t="shared" si="33"/>
        <v>598.8639666</v>
      </c>
      <c r="M37" s="18"/>
      <c r="N37" s="18"/>
      <c r="O37" s="18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9" t="s">
        <v>38</v>
      </c>
      <c r="B38" s="20">
        <v>360.0</v>
      </c>
      <c r="C38" s="11">
        <f t="shared" ref="C38:L38" si="34">B38+(B38*1.78%)</f>
        <v>366.408</v>
      </c>
      <c r="D38" s="11">
        <f t="shared" si="34"/>
        <v>372.9300624</v>
      </c>
      <c r="E38" s="11">
        <f t="shared" si="34"/>
        <v>379.5682175</v>
      </c>
      <c r="F38" s="11">
        <f t="shared" si="34"/>
        <v>386.3245318</v>
      </c>
      <c r="G38" s="11">
        <f t="shared" si="34"/>
        <v>393.2011084</v>
      </c>
      <c r="H38" s="11">
        <f t="shared" si="34"/>
        <v>400.2000882</v>
      </c>
      <c r="I38" s="11">
        <f t="shared" si="34"/>
        <v>407.3236497</v>
      </c>
      <c r="J38" s="11">
        <f t="shared" si="34"/>
        <v>414.5740107</v>
      </c>
      <c r="K38" s="11">
        <f t="shared" si="34"/>
        <v>421.9534281</v>
      </c>
      <c r="L38" s="11">
        <f t="shared" si="34"/>
        <v>429.4641991</v>
      </c>
      <c r="M38" s="5"/>
      <c r="N38" s="5"/>
      <c r="O38" s="2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5" t="s">
        <v>39</v>
      </c>
      <c r="B39" s="26">
        <f t="shared" ref="B39:L39" si="35">SUM(B5:B38)</f>
        <v>35215</v>
      </c>
      <c r="C39" s="26">
        <f t="shared" si="35"/>
        <v>35841.827</v>
      </c>
      <c r="D39" s="26">
        <f t="shared" si="35"/>
        <v>36479.81152</v>
      </c>
      <c r="E39" s="26">
        <f t="shared" si="35"/>
        <v>37129.15217</v>
      </c>
      <c r="F39" s="26">
        <f t="shared" si="35"/>
        <v>37790.05107</v>
      </c>
      <c r="G39" s="26">
        <f t="shared" si="35"/>
        <v>38462.71398</v>
      </c>
      <c r="H39" s="26">
        <f t="shared" si="35"/>
        <v>39147.35029</v>
      </c>
      <c r="I39" s="26">
        <f t="shared" si="35"/>
        <v>39844.17313</v>
      </c>
      <c r="J39" s="26">
        <f t="shared" si="35"/>
        <v>40553.39941</v>
      </c>
      <c r="K39" s="28">
        <f t="shared" si="35"/>
        <v>41275.24992</v>
      </c>
      <c r="L39" s="29">
        <f t="shared" si="35"/>
        <v>42009.94937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5"/>
      <c r="B40" s="5"/>
      <c r="C40" s="5"/>
      <c r="D40" s="5"/>
      <c r="E40" s="5"/>
      <c r="F40" s="5"/>
      <c r="G40" s="30" t="s">
        <v>40</v>
      </c>
      <c r="H40" s="31"/>
      <c r="I40" s="31"/>
      <c r="J40" s="31"/>
      <c r="K40" s="31"/>
      <c r="L40" s="3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3.5" customHeight="1">
      <c r="A42" s="5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3.5" customHeight="1">
      <c r="A43" s="5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3.5" customHeight="1">
      <c r="A44" s="5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3.5" customHeight="1">
      <c r="A45" s="5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3.5" customHeight="1">
      <c r="A46" s="5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3.5" customHeight="1">
      <c r="A47" s="5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3.5" customHeight="1">
      <c r="A48" s="5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3.5" customHeight="1">
      <c r="A49" s="5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3.5" customHeight="1">
      <c r="A50" s="5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3.5" customHeight="1">
      <c r="A51" s="5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3.5" customHeight="1">
      <c r="A52" s="5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3.5" customHeight="1">
      <c r="A53" s="5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3.5" customHeight="1">
      <c r="A54" s="5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5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3.5" customHeight="1">
      <c r="A56" s="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3.5" customHeight="1">
      <c r="A57" s="5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3.5" customHeight="1">
      <c r="A58" s="5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3.5" customHeight="1">
      <c r="A59" s="5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0" customHeight="1">
      <c r="A60" s="5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3.5" customHeight="1">
      <c r="A61" s="5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3.5" customHeight="1">
      <c r="A62" s="5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3.5" customHeight="1">
      <c r="A63" s="5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3.5" customHeight="1">
      <c r="A64" s="5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3.5" customHeight="1">
      <c r="A65" s="5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3.5" customHeight="1">
      <c r="A66" s="5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3.5" customHeight="1">
      <c r="A67" s="5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3.5" customHeight="1">
      <c r="A68" s="5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3.5" customHeight="1">
      <c r="A69" s="5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3.5" customHeight="1">
      <c r="A70" s="5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3.5" customHeight="1">
      <c r="A71" s="5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3.5" customHeight="1">
      <c r="A72" s="5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5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3.5" customHeight="1">
      <c r="A74" s="5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K1"/>
    <mergeCell ref="A2:K2"/>
    <mergeCell ref="G40:L40"/>
  </mergeCells>
  <printOptions/>
  <pageMargins bottom="0.75" footer="0.0" header="0.0" left="0.7" right="0.7" top="0.75"/>
  <pageSetup orientation="landscape"/>
  <drawing r:id="rId1"/>
</worksheet>
</file>